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C:\Users\SyedAtyabHussain\Documents\team_brain_and_bytes_work_area\monthly_performance_reports\"/>
    </mc:Choice>
  </mc:AlternateContent>
  <xr:revisionPtr revIDLastSave="0" documentId="8_{D373BB39-7C4B-4E90-ABFA-E38BE7DBF9FF}" xr6:coauthVersionLast="47" xr6:coauthVersionMax="47" xr10:uidLastSave="{00000000-0000-0000-0000-000000000000}"/>
  <bookViews>
    <workbookView xWindow="-108" yWindow="-108" windowWidth="23256" windowHeight="12456" firstSheet="4" activeTab="3" xr2:uid="{63149AD4-535C-4F32-A263-C64852C93E16}"/>
  </bookViews>
  <sheets>
    <sheet name="April 2025" sheetId="1" r:id="rId1"/>
    <sheet name="May 2025" sheetId="2" r:id="rId2"/>
    <sheet name="June 2025" sheetId="4" r:id="rId3"/>
    <sheet name="July 2025" sheetId="5" r:id="rId4"/>
    <sheet name="August 2025" sheetId="6" r:id="rId5"/>
    <sheet name="September 2025" sheetId="7" r:id="rId6"/>
    <sheet name="October 2025 " sheetId="8" r:id="rId7"/>
    <sheet name="Final" sheetId="9" r:id="rId8"/>
    <sheet name="DO NOT DELETE" sheetId="3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9" l="1"/>
  <c r="I26" i="9"/>
  <c r="I2" i="9"/>
  <c r="H19" i="9"/>
  <c r="I19" i="9"/>
  <c r="J19" i="9" s="1"/>
  <c r="I11" i="9"/>
  <c r="J11" i="9" s="1"/>
  <c r="I3" i="9"/>
  <c r="J3" i="9" s="1"/>
  <c r="I4" i="9"/>
  <c r="J4" i="9" s="1"/>
  <c r="I5" i="9"/>
  <c r="J5" i="9" s="1"/>
  <c r="I6" i="9"/>
  <c r="J6" i="9" s="1"/>
  <c r="I7" i="9"/>
  <c r="J7" i="9" s="1"/>
  <c r="I8" i="9"/>
  <c r="J8" i="9" s="1"/>
  <c r="I9" i="9"/>
  <c r="J9" i="9" s="1"/>
  <c r="I10" i="9"/>
  <c r="J10" i="9" s="1"/>
  <c r="I12" i="9"/>
  <c r="J12" i="9" s="1"/>
  <c r="I13" i="9"/>
  <c r="J13" i="9" s="1"/>
  <c r="I14" i="9"/>
  <c r="J14" i="9" s="1"/>
  <c r="I15" i="9"/>
  <c r="J15" i="9" s="1"/>
  <c r="I16" i="9"/>
  <c r="J16" i="9" s="1"/>
  <c r="I17" i="9"/>
  <c r="J17" i="9" s="1"/>
  <c r="I18" i="9"/>
  <c r="J18" i="9" s="1"/>
  <c r="I20" i="9"/>
  <c r="J20" i="9" s="1"/>
  <c r="I21" i="9"/>
  <c r="J21" i="9" s="1"/>
  <c r="I22" i="9"/>
  <c r="J22" i="9" s="1"/>
  <c r="I23" i="9"/>
  <c r="J23" i="9" s="1"/>
  <c r="I24" i="9"/>
  <c r="J24" i="9" s="1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20" i="9"/>
  <c r="H21" i="9"/>
  <c r="H22" i="9"/>
  <c r="H23" i="9"/>
  <c r="H24" i="9"/>
  <c r="H2" i="9"/>
  <c r="E18" i="8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" i="5"/>
  <c r="E24" i="8"/>
  <c r="E23" i="8"/>
  <c r="E22" i="8"/>
  <c r="E21" i="8"/>
  <c r="E20" i="8"/>
  <c r="E19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25" i="7"/>
  <c r="C25" i="7"/>
  <c r="E14" i="7"/>
  <c r="E15" i="7"/>
  <c r="E16" i="7"/>
  <c r="E17" i="7"/>
  <c r="E18" i="7"/>
  <c r="E19" i="7"/>
  <c r="E20" i="7"/>
  <c r="E21" i="7"/>
  <c r="E22" i="7"/>
  <c r="E23" i="7"/>
  <c r="E24" i="7"/>
  <c r="E3" i="7"/>
  <c r="E4" i="7"/>
  <c r="E5" i="7"/>
  <c r="E6" i="7"/>
  <c r="E7" i="7"/>
  <c r="E8" i="7"/>
  <c r="E9" i="7"/>
  <c r="E10" i="7"/>
  <c r="E11" i="7"/>
  <c r="E12" i="7"/>
  <c r="E13" i="7"/>
  <c r="E2" i="7"/>
</calcChain>
</file>

<file path=xl/sharedStrings.xml><?xml version="1.0" encoding="utf-8"?>
<sst xmlns="http://schemas.openxmlformats.org/spreadsheetml/2006/main" count="1853" uniqueCount="418">
  <si>
    <t>Name</t>
  </si>
  <si>
    <t>Problem Solving Skills</t>
  </si>
  <si>
    <t>Eagerness to Learn</t>
  </si>
  <si>
    <t>Self-Initiative</t>
  </si>
  <si>
    <t>Attention to detail</t>
  </si>
  <si>
    <t>Application of Knowledge</t>
  </si>
  <si>
    <t>Communication Skills</t>
  </si>
  <si>
    <t>Attitude</t>
  </si>
  <si>
    <t>Professionalism</t>
  </si>
  <si>
    <t>Team work and Collaboration</t>
  </si>
  <si>
    <t>Creativity</t>
  </si>
  <si>
    <t>Decision Making</t>
  </si>
  <si>
    <t>Punctuality</t>
  </si>
  <si>
    <t>Monthly Evaluation (out of 100%)</t>
  </si>
  <si>
    <t>Total Score (out of 100%)</t>
  </si>
  <si>
    <t>Fatma Almukhaini</t>
  </si>
  <si>
    <t>Good problem-solving skills, consistently works through challenges effectively.</t>
  </si>
  <si>
    <t>Shows a keen interest in learning and is quick to adopt new information.</t>
  </si>
  <si>
    <t>Takes good initiative on assigned tasks and seeks out opportunities to contribute.</t>
  </si>
  <si>
    <t>Maintains good attention to detail in work.</t>
  </si>
  <si>
    <t>Applies knowledge well and understands core concepts.</t>
  </si>
  <si>
    <t>Good communication skills, expresses ideas clearly.</t>
  </si>
  <si>
    <t>Positive and cooperative attitude.</t>
  </si>
  <si>
    <t>Professional in conduct and interactions.</t>
  </si>
  <si>
    <t>Good team player, collaborates effectively.</t>
  </si>
  <si>
    <t>Shows good creativity in problem-solving.</t>
  </si>
  <si>
    <t>Makes sensible decisions.</t>
  </si>
  <si>
    <t>Generally punctual and meets deadlines.</t>
  </si>
  <si>
    <t>Sihab</t>
  </si>
  <si>
    <t>Solid problem-solving abilities, tackles issues methodically.</t>
  </si>
  <si>
    <t>Eager to learn and improve, actively seeks out new knowledge.</t>
  </si>
  <si>
    <t>Shows good initiative and is proactive in responsibilities.</t>
  </si>
  <si>
    <t>Pays good attention to detail, ensuring work quality.</t>
  </si>
  <si>
    <t>Effectively applies learned concepts to tasks.</t>
  </si>
  <si>
    <t>Clear and concise communicator.</t>
  </si>
  <si>
    <t>Maintains a positive and professional attitude.</t>
  </si>
  <si>
    <t>Consistently professional and reliable.</t>
  </si>
  <si>
    <t>Collaborates well with team members.</t>
  </si>
  <si>
    <t>Demonstrates creativity in approach to work.</t>
  </si>
  <si>
    <t>Makes good, well-reasoned decisions.</t>
  </si>
  <si>
    <t>Punctual and manages time well.</t>
  </si>
  <si>
    <t>Quds</t>
  </si>
  <si>
    <t>Good at identifying and solving problems.</t>
  </si>
  <si>
    <t>Demonstrates a willingness to learn and adapt.</t>
  </si>
  <si>
    <t>Takes initiative when required and contributes actively.</t>
  </si>
  <si>
    <t>Good focus on details in tasks undertaken.</t>
  </si>
  <si>
    <t>Applies existing knowledge effectively to new situations.</t>
  </si>
  <si>
    <t>Communicates effectively within the team.</t>
  </si>
  <si>
    <t>Positive attitude towards work and colleagues.</t>
  </si>
  <si>
    <t>Professional and dependable team member.</t>
  </si>
  <si>
    <t>Works well in a team setting, supportive of others.</t>
  </si>
  <si>
    <t>Offers creative ideas and solutions.</t>
  </si>
  <si>
    <t>Makes appropriate decisions for given tasks.</t>
  </si>
  <si>
    <t>Consistently punctual.</t>
  </si>
  <si>
    <t>Hajer</t>
  </si>
  <si>
    <t>Strong problem-solving skills, addresses issues systematically.</t>
  </si>
  <si>
    <t>Very eager to learn and quickly grasps new technical skills.</t>
  </si>
  <si>
    <t>Shows commendable initiative in projects.</t>
  </si>
  <si>
    <t>Good attention to detail, produces quality work.</t>
  </si>
  <si>
    <t>Applies knowledge effectively and seeks to expand understanding.</t>
  </si>
  <si>
    <t>Communicates her ideas well and listens actively.</t>
  </si>
  <si>
    <t>Maintains a positive and enthusiastic attitude.</t>
  </si>
  <si>
    <t>Professional in her approach and interactions.</t>
  </si>
  <si>
    <t>A collaborative team member who supports peers.</t>
  </si>
  <si>
    <t>Brings creative thinking to challenges.</t>
  </si>
  <si>
    <t>Makes informed and timely decisions.</t>
  </si>
  <si>
    <t>Punctual and reliable.</t>
  </si>
  <si>
    <t>Fatma Al-Balushi</t>
  </si>
  <si>
    <t>Effectively solves problems and overcomes obstacles.</t>
  </si>
  <si>
    <t>Keen to learn new skills and apply them.</t>
  </si>
  <si>
    <t>Proactive and takes initiative in her work.</t>
  </si>
  <si>
    <t>Pays good attention to detail in all tasks.</t>
  </si>
  <si>
    <t>Good application of knowledge to practical work.</t>
  </si>
  <si>
    <t>Communicates clearly and respectfully.</t>
  </si>
  <si>
    <t>Positive and helpful attitude.</t>
  </si>
  <si>
    <t>Professional and responsible.</t>
  </si>
  <si>
    <t>Works well with the team, fostering collaboration.</t>
  </si>
  <si>
    <t>Shows creativity in her approach to tasks.</t>
  </si>
  <si>
    <t>Makes sound judgments and decisions.</t>
  </si>
  <si>
    <t>Generally punctual and meets commitments.</t>
  </si>
  <si>
    <t>Maather</t>
  </si>
  <si>
    <t>Excellent problem solver, consistently finds effective and creative solutions.</t>
  </si>
  <si>
    <t>Very eager to learn new technologies and methodologies, and applies them quickly.</t>
  </si>
  <si>
    <t>Shows great initiative, often anticipating needs and taking action.</t>
  </si>
  <si>
    <t>High attention to detail, ensuring accuracy and thoroughness in her work.</t>
  </si>
  <si>
    <t>Strong application of knowledge, demonstrating a deep understanding of concepts.</t>
  </si>
  <si>
    <t>Articulate and clear communicator, fostering understanding within the team.</t>
  </si>
  <si>
    <t>Maintains a very positive and encouraging attitude.</t>
  </si>
  <si>
    <t>Highly professional in all her dealings and work ethic.</t>
  </si>
  <si>
    <t>Exceptional team player, always willing to help and collaborate.</t>
  </si>
  <si>
    <t>Brings a fresh and creative perspective to problems.</t>
  </si>
  <si>
    <t>Makes well-informed and confident decisions.</t>
  </si>
  <si>
    <t>Consistently punctual and reliable.</t>
  </si>
  <si>
    <t>Janna</t>
  </si>
  <si>
    <t>Good problem-solving skills, able to find practical solutions.</t>
  </si>
  <si>
    <t>Shows a good willingness to learn and develop new skills.</t>
  </si>
  <si>
    <t>Takes initiative appropriately and contributes to team goals.</t>
  </si>
  <si>
    <t>Maintains a good level of attention to detail.</t>
  </si>
  <si>
    <t>Applies knowledge effectively in her role.</t>
  </si>
  <si>
    <t>Communicates ideas clearly to team members.</t>
  </si>
  <si>
    <t>Positive and constructive attitude.</t>
  </si>
  <si>
    <t>Professional in her conduct.</t>
  </si>
  <si>
    <t>Collaborates well with others in the team.</t>
  </si>
  <si>
    <t>Shows creativity in her work.</t>
  </si>
  <si>
    <t>Makes sensible and timely decisions.</t>
  </si>
  <si>
    <t>Punctual and reliable in her commitments.</t>
  </si>
  <si>
    <t>Malek</t>
  </si>
  <si>
    <t>Outstanding problem-solving skills, consistently delivering effective solutions.</t>
  </si>
  <si>
    <t>Extremely eager to learn, quickly mastering new and complex topics.</t>
  </si>
  <si>
    <t>Shows exceptional initiative, often identifying and addressing potential issues proactively.</t>
  </si>
  <si>
    <t>Meticulous attention to detail, ensuring the highest quality of work.</t>
  </si>
  <si>
    <t>Expertly applies deep knowledge to solve challenging problems.</t>
  </si>
  <si>
    <t>Excellent communicator, articulating complex ideas with clarity and precision.</t>
  </si>
  <si>
    <t>Consistently demonstrates a positive, can-do attitude.</t>
  </si>
  <si>
    <t>Exemplary professionalism and work ethic.</t>
  </si>
  <si>
    <t>A cornerstone of team collaboration, fostering a supportive and productive environment.</t>
  </si>
  <si>
    <t>Highly creative and innovative in finding solutions.</t>
  </si>
  <si>
    <t>Makes strategic and impactful decisions.</t>
  </si>
  <si>
    <t>Always punctual and exceeds delivery expectations.</t>
  </si>
  <si>
    <t>Osama</t>
  </si>
  <si>
    <t>Exceptional problem-solving skills, often finding unique and effective solutions.</t>
  </si>
  <si>
    <t>Demonstrates a profound eagerness to learn and master new areas.</t>
  </si>
  <si>
    <t>Consistently takes strong initiative, driving projects forward.</t>
  </si>
  <si>
    <t>Impeccable attention to detail, leading to high-quality outcomes.</t>
  </si>
  <si>
    <t>Applies extensive knowledge skillfully and innovatively.</t>
  </si>
  <si>
    <t>Excellent communication skills, both written and verbal.</t>
  </si>
  <si>
    <t>Maintains an exceptionally positive and resilient attitude.</t>
  </si>
  <si>
    <t>Highest level of professionalism and integrity.</t>
  </si>
  <si>
    <t>A key collaborator who enhances team synergy and performance.</t>
  </si>
  <si>
    <t>Highly creative, often proposing novel ideas.</t>
  </si>
  <si>
    <t>Makes strategic and insightful decisions.</t>
  </si>
  <si>
    <t>Exemplary punctuality and commitment to deadlines.</t>
  </si>
  <si>
    <t>Layan</t>
  </si>
  <si>
    <t>Solves problems effectively and efficiently.</t>
  </si>
  <si>
    <t>Eager to learn and continuously improve her skills.</t>
  </si>
  <si>
    <t>Demonstrates good initiative in her tasks.</t>
  </si>
  <si>
    <t>Pays good attention to detail, ensuring accuracy.</t>
  </si>
  <si>
    <t>Applies her knowledge well to her responsibilities.</t>
  </si>
  <si>
    <t>Clear and effective communicator.</t>
  </si>
  <si>
    <t>Maintains a positive and supportive attitude.</t>
  </si>
  <si>
    <t>Professional and dedicated in her work.</t>
  </si>
  <si>
    <t>Good team player, contributes to a collaborative environment.</t>
  </si>
  <si>
    <t>Creative in her approach to problem-solving.</t>
  </si>
  <si>
    <t>Makes well-thought-out decisions.</t>
  </si>
  <si>
    <t>Consistently punctual and meets deadlines.</t>
  </si>
  <si>
    <t>Arwa</t>
  </si>
  <si>
    <t>Excellent problem-solving skills, often providing insightful and practical solutions.</t>
  </si>
  <si>
    <t>Extremely eager to learn and quickly adapts to new technologies and concepts.</t>
  </si>
  <si>
    <t>Shows remarkable initiative, proactively seeking out challenges and opportunities.</t>
  </si>
  <si>
    <t>Pays great attention to detail, ensuring high-quality, error-free work.</t>
  </si>
  <si>
    <t>Effectively applies her knowledge to solve complex problems and innovate.</t>
  </si>
  <si>
    <t>Clear, concise, and persuasive communicator.</t>
  </si>
  <si>
    <t>Consistently positive, enthusiastic, and motivating attitude.</t>
  </si>
  <si>
    <t>Demonstrates a high degree of professionalism and commitment.</t>
  </si>
  <si>
    <t>An outstanding collaborator who actively supports and uplifts the team.</t>
  </si>
  <si>
    <t>Very creative in her thinking and problem-solving approach.</t>
  </si>
  <si>
    <t>Makes well-judged and effective decisions.</t>
  </si>
  <si>
    <t>Consistently punctual and reliable in meeting deadlines.</t>
  </si>
  <si>
    <t>Nusiba</t>
  </si>
  <si>
    <t>Good problem-solving abilities, tackles challenges with a logical approach.</t>
  </si>
  <si>
    <t>Shows enthusiasm for learning new concepts and applying them.</t>
  </si>
  <si>
    <t>Takes initiative in her responsibilities and seeks to contribute more.</t>
  </si>
  <si>
    <t>Good attention to detail, ensuring quality in her work.</t>
  </si>
  <si>
    <t>Effectively applies her knowledge and skills to tasks.</t>
  </si>
  <si>
    <t>Communicates well and shares information effectively.</t>
  </si>
  <si>
    <t>Positive and proactive attitude.</t>
  </si>
  <si>
    <t>Professional and reliable team member.</t>
  </si>
  <si>
    <t>Works well with team members and supports group efforts.</t>
  </si>
  <si>
    <t>Demonstrates creativity in her tasks.</t>
  </si>
  <si>
    <t>Makes good decisions and shows sound judgment.</t>
  </si>
  <si>
    <t>Punctual and adheres to schedules.</t>
  </si>
  <si>
    <t>Al Zahra</t>
  </si>
  <si>
    <t>Good problem-solving skills, addresses issues competently.</t>
  </si>
  <si>
    <t>Willing to learn and adapt to new challenges.</t>
  </si>
  <si>
    <t>Takes appropriate initiative in her work.</t>
  </si>
  <si>
    <t>Good attention to detail in her assignments.</t>
  </si>
  <si>
    <t>Applies her knowledge effectively to her role.</t>
  </si>
  <si>
    <t>Communicates clearly with her colleagues.</t>
  </si>
  <si>
    <t>Positive attitude and contributes to a good team atmosphere.</t>
  </si>
  <si>
    <t>Professional in her interactions and work.</t>
  </si>
  <si>
    <t>Collaborates effectively with the team.</t>
  </si>
  <si>
    <t>Makes sound decisions.</t>
  </si>
  <si>
    <t>Generally punctual and reliable.</t>
  </si>
  <si>
    <t>Ahmed</t>
  </si>
  <si>
    <t>Solid problem-solving skills, effectively navigates challenges.</t>
  </si>
  <si>
    <t>Shows a good aptitude for learning and is open to new ideas.</t>
  </si>
  <si>
    <t>Takes initiative when needed and contributes positively.</t>
  </si>
  <si>
    <t>Pays good attention to detail in his work.</t>
  </si>
  <si>
    <t>Applies his knowledge well to meet project requirements.</t>
  </si>
  <si>
    <t>Communicates his points clearly and listens well.</t>
  </si>
  <si>
    <t>Positive and cooperative in team settings.</t>
  </si>
  <si>
    <t>Professional and responsible in his duties.</t>
  </si>
  <si>
    <t>Works collaboratively with team members.</t>
  </si>
  <si>
    <t>Shows good creativity in his tasks.</t>
  </si>
  <si>
    <t>Makes reasonable and timely decisions.</t>
  </si>
  <si>
    <t>Punctual and meets his commitments.</t>
  </si>
  <si>
    <t>Nouf</t>
  </si>
  <si>
    <t>Good problem-solving abilities, consistently finds solutions.</t>
  </si>
  <si>
    <t>Eager to learn and apply new information effectively.</t>
  </si>
  <si>
    <t>Takes initiative in her tasks and seeks to improve processes.</t>
  </si>
  <si>
    <t>Good attention to detail, ensuring her work is accurate.</t>
  </si>
  <si>
    <t>Applies knowledge effectively and is resourceful.</t>
  </si>
  <si>
    <t>Communicates well with the team and stakeholders.</t>
  </si>
  <si>
    <t>Professional and reliable.</t>
  </si>
  <si>
    <t>Good collaborator and team member.</t>
  </si>
  <si>
    <t>Creative in her approach to challenges.</t>
  </si>
  <si>
    <t>Makes sensible and well-reasoned decisions.</t>
  </si>
  <si>
    <t>Punctual and manages her time effectively.</t>
  </si>
  <si>
    <t>Mahmood</t>
  </si>
  <si>
    <t>Effectively solves problems encountered in his work.</t>
  </si>
  <si>
    <t>Shows a good desire to learn and grow professionally.</t>
  </si>
  <si>
    <t>Takes initiative on his projects and tasks.</t>
  </si>
  <si>
    <t>Pays good attention to detail.</t>
  </si>
  <si>
    <t>Applies learned skills well in practical scenarios.</t>
  </si>
  <si>
    <t>Communicates ideas clearly and concisely.</t>
  </si>
  <si>
    <t>Maintains a positive attitude towards his work.</t>
  </si>
  <si>
    <t>Professional in his demeanor and work habits.</t>
  </si>
  <si>
    <t>Works well with others and contributes to team goals.</t>
  </si>
  <si>
    <t>Demonstrates creativity in his solutions.</t>
  </si>
  <si>
    <t>Makes sound and appropriate decisions.</t>
  </si>
  <si>
    <t>Sarah</t>
  </si>
  <si>
    <t>Good problem-solving skills, able to work through issues effectively.</t>
  </si>
  <si>
    <t>Shows a willingness to learn and develop her skills further.</t>
  </si>
  <si>
    <t>Takes initiative when appropriate and contributes to team success.</t>
  </si>
  <si>
    <t>Good attention to detail in her work.</t>
  </si>
  <si>
    <t>Applies her knowledge well to her assigned tasks.</t>
  </si>
  <si>
    <t>Communicates clearly and effectively with team members.</t>
  </si>
  <si>
    <t>Professional and responsible in her role.</t>
  </si>
  <si>
    <t>Collaborates well with others in a team environment.</t>
  </si>
  <si>
    <t>Punctual and meets her deadlines.</t>
  </si>
  <si>
    <t>Ebaa</t>
  </si>
  <si>
    <t>Strong problem-solving capabilities, effectively addresses challenges.</t>
  </si>
  <si>
    <t>Eager to learn and expand her skillset.</t>
  </si>
  <si>
    <t>Takes good initiative and is proactive in her responsibilities.</t>
  </si>
  <si>
    <t>Pays attention to detail, ensuring accuracy in her work.</t>
  </si>
  <si>
    <t>Applies her knowledge effectively to achieve results.</t>
  </si>
  <si>
    <t>Good communicator, expressing her ideas clearly.</t>
  </si>
  <si>
    <t>Positive and constructive attitude towards her work.</t>
  </si>
  <si>
    <t>Works well in collaboration with others.</t>
  </si>
  <si>
    <t>Creative in finding solutions to problems.</t>
  </si>
  <si>
    <t>Makes well-informed decisions.</t>
  </si>
  <si>
    <t>Punctual and manages her time well.</t>
  </si>
  <si>
    <t>Khadija</t>
  </si>
  <si>
    <t>Outstanding problem-solving abilities, tackles complex issues with innovative strategies.</t>
  </si>
  <si>
    <t>Exhibits a strong passion for learning and rapidly acquires new skills and knowledge.</t>
  </si>
  <si>
    <t>Consistently demonstrates exceptional initiative, often leading on new ideas.</t>
  </si>
  <si>
    <t>Meticulous attention to detail, ensuring precision and excellence in all work.</t>
  </si>
  <si>
    <t>Expertly applies a broad range of knowledge to diverse challenges.</t>
  </si>
  <si>
    <t>Superior communication skills, conveying complex information effectively to all audiences.</t>
  </si>
  <si>
    <t>Maintains an unwavering positive and solution-oriented attitude.</t>
  </si>
  <si>
    <t>Exemplifies the highest standards of professionalism and dedication.</t>
  </si>
  <si>
    <t>A pivotal team player who fosters collaboration and mentors others.</t>
  </si>
  <si>
    <t>Highly creative and resourceful in developing solutions.</t>
  </si>
  <si>
    <t>Makes strategic, data-driven decisions with confidence.</t>
  </si>
  <si>
    <t>Always punctual and consistently exceeds expectations.</t>
  </si>
  <si>
    <t>Deena</t>
  </si>
  <si>
    <t>Good problem-solving skills, consistently finds ways to overcome obstacles.</t>
  </si>
  <si>
    <t>Demonstrates a keen interest in learning and personal development.</t>
  </si>
  <si>
    <t>Takes initiative on tasks and contributes actively to discussions.</t>
  </si>
  <si>
    <t>Maintains good attention to detail in all her work.</t>
  </si>
  <si>
    <t>Applies her knowledge effectively and seeks to learn more.</t>
  </si>
  <si>
    <t>Communicates her thoughts clearly and is a good listener.</t>
  </si>
  <si>
    <t>Positive and engaging attitude.</t>
  </si>
  <si>
    <t>Professional in her conduct and interactions with colleagues.</t>
  </si>
  <si>
    <t>A good team player who supports her peers.</t>
  </si>
  <si>
    <t>Shows creativity and resourcefulness.</t>
  </si>
  <si>
    <t>Makes sound and timely decisions.</t>
  </si>
  <si>
    <t>Reliably punctual and meets commitments.</t>
  </si>
  <si>
    <t>Adham</t>
  </si>
  <si>
    <t>Proactive and takes initiative in his work.</t>
  </si>
  <si>
    <t>Shows creativity in his approach to tasks.</t>
  </si>
  <si>
    <t>Maha</t>
  </si>
  <si>
    <t>Duaa</t>
  </si>
  <si>
    <t>Exceptional problem-solving skills, consistently finds innovative solutions.</t>
  </si>
  <si>
    <t>Outstanding eagerness to learn, rapidly masters new concepts and technologies.</t>
  </si>
  <si>
    <t>Proactively takes on challenges and drives tasks to completion with minimal supervision.</t>
  </si>
  <si>
    <t>Exhibits remarkable attention to detail, ensuring high quality in all deliverables.</t>
  </si>
  <si>
    <t>Effectively applies learned knowledge to practical situations, demonstrating strong understanding.</t>
  </si>
  <si>
    <t>Communicates ideas clearly and effectively, fostering a positive team environment.</t>
  </si>
  <si>
    <t>Maintains a highly positive and motivating attitude, inspiring team members.</t>
  </si>
  <si>
    <t>Demonstrates exemplary professionalism in all interactions and work ethic.</t>
  </si>
  <si>
    <t>Collaborates seamlessly with team members, actively contributing to shared goals.</t>
  </si>
  <si>
    <t>Consistently offers creative and innovative solutions to complex problems.</t>
  </si>
  <si>
    <t>Makes well-informed and timely decisions, contributing to project success.</t>
  </si>
  <si>
    <t>Consistently punctual and meets all deadlines.</t>
  </si>
  <si>
    <t>Sprint No.</t>
  </si>
  <si>
    <t>Sprint URL</t>
  </si>
  <si>
    <t>Sprint Name</t>
  </si>
  <si>
    <t>-</t>
  </si>
  <si>
    <t>N/A Since this is an introduction sprint with basics of Maths and Stats related to ML</t>
  </si>
  <si>
    <t>ML related Statistics (Basic)</t>
  </si>
  <si>
    <t>Sprint 1:</t>
  </si>
  <si>
    <t>https://sharing.clickup.com/90181072599/b/h/6-901807598252-2/5aa5d546ca1a456</t>
  </si>
  <si>
    <t>Python Basics with Git and Github</t>
  </si>
  <si>
    <t>Central Github Repository:</t>
  </si>
  <si>
    <t>https://github.com/CodelineAtyab/Brain360</t>
  </si>
  <si>
    <t>Check the PRs for specific authors for tasks</t>
  </si>
  <si>
    <t>Note:</t>
  </si>
  <si>
    <r>
      <t xml:space="preserve">Sprint duration is </t>
    </r>
    <r>
      <rPr>
        <b/>
        <sz val="11"/>
        <color theme="1"/>
        <rFont val="Aptos Narrow"/>
        <family val="2"/>
        <scheme val="minor"/>
      </rPr>
      <t>two weeks</t>
    </r>
    <r>
      <rPr>
        <sz val="11"/>
        <color theme="1"/>
        <rFont val="Aptos Narrow"/>
        <family val="2"/>
        <scheme val="minor"/>
      </rPr>
      <t xml:space="preserve">, so for </t>
    </r>
    <r>
      <rPr>
        <b/>
        <sz val="11"/>
        <color theme="1"/>
        <rFont val="Aptos Narrow"/>
        <family val="2"/>
        <scheme val="minor"/>
      </rPr>
      <t>each month</t>
    </r>
    <r>
      <rPr>
        <sz val="11"/>
        <color theme="1"/>
        <rFont val="Aptos Narrow"/>
        <family val="2"/>
        <scheme val="minor"/>
      </rPr>
      <t xml:space="preserve">, there would be </t>
    </r>
    <r>
      <rPr>
        <b/>
        <sz val="11"/>
        <color theme="1"/>
        <rFont val="Aptos Narrow"/>
        <family val="2"/>
        <scheme val="minor"/>
      </rPr>
      <t>two sprints</t>
    </r>
  </si>
  <si>
    <t>N/A</t>
  </si>
  <si>
    <t>Description</t>
  </si>
  <si>
    <t>Sprint 2:</t>
  </si>
  <si>
    <t>https://app.clickup.com/90181072599/v/li/901807926903</t>
  </si>
  <si>
    <t>Python Data Structures &amp; Algorithms</t>
  </si>
  <si>
    <t>Sprint 3:</t>
  </si>
  <si>
    <t>https://app.clickup.com/90181072599/v/li/901808512021</t>
  </si>
  <si>
    <t>Data Persistence and Reliable Applications</t>
  </si>
  <si>
    <t>Sprint 4:</t>
  </si>
  <si>
    <t>https://app.clickup.com/90181072599/v/li/901808776459</t>
  </si>
  <si>
    <t>Database &amp; Intro to Data Science</t>
  </si>
  <si>
    <t>Sprint 5:</t>
  </si>
  <si>
    <t>https://app.clickup.com/90181072599/v/li/901809326403</t>
  </si>
  <si>
    <t>Data Extraction, Processing and Transformation</t>
  </si>
  <si>
    <t>Sprint commitments vs deliveries total score (out of 50%)</t>
  </si>
  <si>
    <t>Monthly Evaluation (out of 50%)</t>
  </si>
  <si>
    <t>Shihab</t>
  </si>
  <si>
    <t>Sprint 6:</t>
  </si>
  <si>
    <t>https://app.clickup.com/90181072599/v/li/901809925285</t>
  </si>
  <si>
    <t>Data Collection and Introduction to Linux (Ubuntu OS) (Docker Optional)</t>
  </si>
  <si>
    <t>Sprint 7:</t>
  </si>
  <si>
    <t>https://app.clickup.com/90181072599/v/li/901810289930</t>
  </si>
  <si>
    <t>Digital Image Processing</t>
  </si>
  <si>
    <t>Hackathon (out of 100%)</t>
  </si>
  <si>
    <t>Sprint 8:</t>
  </si>
  <si>
    <t>https://app.clickup.com/90181072599/v/li/901810642954</t>
  </si>
  <si>
    <t>Natural Language Processing(NLP) &amp; Machine Learning(ML)</t>
  </si>
  <si>
    <t>Sprint 9:</t>
  </si>
  <si>
    <t>https://app.clickup.com/90181072599/v/li/901811335509</t>
  </si>
  <si>
    <t>Supervised Learning  (Classification)</t>
  </si>
  <si>
    <r>
      <rPr>
        <sz val="11"/>
        <color rgb="FF000000"/>
        <rFont val="Aptos Narrow"/>
        <scheme val="minor"/>
      </rPr>
      <t xml:space="preserve">Sprint duration is </t>
    </r>
    <r>
      <rPr>
        <b/>
        <sz val="11"/>
        <color rgb="FF000000"/>
        <rFont val="Aptos Narrow"/>
        <scheme val="minor"/>
      </rPr>
      <t>two weeks</t>
    </r>
    <r>
      <rPr>
        <sz val="11"/>
        <color rgb="FF000000"/>
        <rFont val="Aptos Narrow"/>
        <scheme val="minor"/>
      </rPr>
      <t xml:space="preserve">, so for </t>
    </r>
    <r>
      <rPr>
        <b/>
        <sz val="11"/>
        <color rgb="FF000000"/>
        <rFont val="Aptos Narrow"/>
        <scheme val="minor"/>
      </rPr>
      <t>each month</t>
    </r>
    <r>
      <rPr>
        <sz val="11"/>
        <color rgb="FF000000"/>
        <rFont val="Aptos Narrow"/>
        <scheme val="minor"/>
      </rPr>
      <t xml:space="preserve">, there would be </t>
    </r>
    <r>
      <rPr>
        <b/>
        <sz val="11"/>
        <color rgb="FF000000"/>
        <rFont val="Aptos Narrow"/>
        <scheme val="minor"/>
      </rPr>
      <t>two sprints</t>
    </r>
  </si>
  <si>
    <t>Results for hackathon are based on the ranking (+ extra efforts)</t>
  </si>
  <si>
    <t>Test Score Out of  (45)</t>
  </si>
  <si>
    <t>Makeup Test Score Out of  (41)</t>
  </si>
  <si>
    <t>Makeup Test Score Out of  (50%)</t>
  </si>
  <si>
    <t>Sprint 10:</t>
  </si>
  <si>
    <t>https://sharing.clickup.com/90181072599/l/h/6-901811513227-1/8f581d0fd74b152</t>
  </si>
  <si>
    <t>Clustering &amp; Neural Networks</t>
  </si>
  <si>
    <t>Sprint 11:</t>
  </si>
  <si>
    <t>Hardening Sprint</t>
  </si>
  <si>
    <t>Wrap up the reaminig tasks</t>
  </si>
  <si>
    <t>Sprint commitments vs deliveries total score (out of 30%)</t>
  </si>
  <si>
    <t>Technical Interview Out of  (100%)</t>
  </si>
  <si>
    <t>Monthly Evaluation (out of 70%)</t>
  </si>
  <si>
    <t>Column1</t>
  </si>
  <si>
    <t>Sponser Site</t>
  </si>
  <si>
    <t>Sprint 12:</t>
  </si>
  <si>
    <t>Final Interview Evaluation</t>
  </si>
  <si>
    <t>Sprint 13:</t>
  </si>
  <si>
    <t>RNN</t>
  </si>
  <si>
    <t>May</t>
  </si>
  <si>
    <t xml:space="preserve">June  </t>
  </si>
  <si>
    <t xml:space="preserve">July </t>
  </si>
  <si>
    <t>August</t>
  </si>
  <si>
    <t>September</t>
  </si>
  <si>
    <t>October</t>
  </si>
  <si>
    <t>Average</t>
  </si>
  <si>
    <t>Weighted Average</t>
  </si>
  <si>
    <t>Grade</t>
  </si>
  <si>
    <t>Mark</t>
  </si>
  <si>
    <t>F</t>
  </si>
  <si>
    <t>D</t>
  </si>
  <si>
    <t>C</t>
  </si>
  <si>
    <t>B</t>
  </si>
  <si>
    <t>A</t>
  </si>
  <si>
    <t>Got C or Above</t>
  </si>
  <si>
    <t>StudentName</t>
  </si>
  <si>
    <t>ScoreApril2025</t>
  </si>
  <si>
    <t>ScoreMay2025</t>
  </si>
  <si>
    <t>GithubLink</t>
  </si>
  <si>
    <t>LatestSprint</t>
  </si>
  <si>
    <t>Attendance</t>
  </si>
  <si>
    <t>Fatema Almukhaini</t>
  </si>
  <si>
    <t>https://github.com/CodelineAtyab/Brain360/pulls?q=is%3Apr+is%3Aclosed</t>
  </si>
  <si>
    <t>https://sharing.clickup.com/90181072599/b/h/6-901808512021-2/959c2149d211a25</t>
  </si>
  <si>
    <t>Shihab Aljassasi</t>
  </si>
  <si>
    <t>https://sharing.clickup.com/90181072599/b/h/6-901808512021-2/959c2149d211a26</t>
  </si>
  <si>
    <t>Quds Al Jabri</t>
  </si>
  <si>
    <t>https://sharing.clickup.com/90181072599/b/h/6-901808512021-2/959c2149d211a27</t>
  </si>
  <si>
    <t>Hajir Alhattali</t>
  </si>
  <si>
    <t>https://sharing.clickup.com/90181072599/b/h/6-901808512021-2/959c2149d211a28</t>
  </si>
  <si>
    <t>https://sharing.clickup.com/90181072599/b/h/6-901808512021-2/959c2149d211a29</t>
  </si>
  <si>
    <t>Maather Al-Wadhahi</t>
  </si>
  <si>
    <t>https://sharing.clickup.com/90181072599/b/h/6-901808512021-2/959c2149d211a30</t>
  </si>
  <si>
    <t>Janna Al Balushi</t>
  </si>
  <si>
    <t>https://sharing.clickup.com/90181072599/b/h/6-901808512021-2/959c2149d211a31</t>
  </si>
  <si>
    <t>Malak Albattashi</t>
  </si>
  <si>
    <t>https://sharing.clickup.com/90181072599/b/h/6-901808512021-2/959c2149d211a32</t>
  </si>
  <si>
    <t>Osama Al Zakwani</t>
  </si>
  <si>
    <t>https://sharing.clickup.com/90181072599/b/h/6-901808512021-2/959c2149d211a33</t>
  </si>
  <si>
    <t>Liyan Al Yahmadi</t>
  </si>
  <si>
    <t>https://sharing.clickup.com/90181072599/b/h/6-901808512021-2/959c2149d211a34</t>
  </si>
  <si>
    <t>Arwa Al Rahbi</t>
  </si>
  <si>
    <t>https://sharing.clickup.com/90181072599/b/h/6-901808512021-2/959c2149d211a35</t>
  </si>
  <si>
    <t>Nusiba Alnabhani</t>
  </si>
  <si>
    <t>https://sharing.clickup.com/90181072599/b/h/6-901808512021-2/959c2149d211a36</t>
  </si>
  <si>
    <t>Alzahra Albreiki</t>
  </si>
  <si>
    <t>https://sharing.clickup.com/90181072599/b/h/6-901808512021-2/959c2149d211a37</t>
  </si>
  <si>
    <t>Ahmed Al Naimee</t>
  </si>
  <si>
    <t>https://sharing.clickup.com/90181072599/b/h/6-901808512021-2/959c2149d211a38</t>
  </si>
  <si>
    <t>Nouf Al Rashdi</t>
  </si>
  <si>
    <t>https://sharing.clickup.com/90181072599/b/h/6-901808512021-2/959c2149d211a39</t>
  </si>
  <si>
    <t>Mahmood Al-Sawwafi</t>
  </si>
  <si>
    <t>https://sharing.clickup.com/90181072599/b/h/6-901808512021-2/959c2149d211a40</t>
  </si>
  <si>
    <t>Sarah Alabbadi</t>
  </si>
  <si>
    <t>https://sharing.clickup.com/90181072599/b/h/6-901808512021-2/959c2149d211a41</t>
  </si>
  <si>
    <t>Ebaa Alsaadi</t>
  </si>
  <si>
    <t>https://sharing.clickup.com/90181072599/b/h/6-901808512021-2/959c2149d211a42</t>
  </si>
  <si>
    <t>Khadija Alzadjali</t>
  </si>
  <si>
    <t>https://sharing.clickup.com/90181072599/b/h/6-901808512021-2/959c2149d211a43</t>
  </si>
  <si>
    <t>Deena Al Busaidi</t>
  </si>
  <si>
    <t>https://sharing.clickup.com/90181072599/b/h/6-901808512021-2/959c2149d211a44</t>
  </si>
  <si>
    <t>Adham Al Sinaidi</t>
  </si>
  <si>
    <t>https://sharing.clickup.com/90181072599/b/h/6-901808512021-2/959c2149d211a45</t>
  </si>
  <si>
    <t>Maha Al Yahmadi</t>
  </si>
  <si>
    <t>https://sharing.clickup.com/90181072599/b/h/6-901808512021-2/959c2149d211a46</t>
  </si>
  <si>
    <t>Duaa Al Hashmi</t>
  </si>
  <si>
    <t>https://sharing.clickup.com/90181072599/b/h/6-901808512021-2/959c2149d211a47</t>
  </si>
  <si>
    <t>97.96%%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</si>
</sst>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charset val="1"/>
    </font>
    <font>
      <b/>
      <sz val="14"/>
      <color rgb="FFFFFFFF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33">
    <xf numFmtId="0" fontId="0" fillId="0" borderId="0" xfId="0"/>
    <xf numFmtId="0" fontId="0" fillId="33" borderId="0" xfId="0" applyFill="1"/>
    <xf numFmtId="0" fontId="18" fillId="33" borderId="0" xfId="0" applyFont="1" applyFill="1"/>
    <xf numFmtId="0" fontId="16" fillId="0" borderId="0" xfId="0" applyFont="1"/>
    <xf numFmtId="0" fontId="19" fillId="0" borderId="0" xfId="42"/>
    <xf numFmtId="2" fontId="18" fillId="33" borderId="0" xfId="0" applyNumberFormat="1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16" fillId="0" borderId="0" xfId="0" applyFont="1" applyAlignment="1">
      <alignment horizontal="left"/>
    </xf>
    <xf numFmtId="0" fontId="19" fillId="0" borderId="0" xfId="42" applyAlignment="1"/>
    <xf numFmtId="0" fontId="16" fillId="34" borderId="10" xfId="0" applyFont="1" applyFill="1" applyBorder="1"/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0" fontId="0" fillId="0" borderId="0" xfId="0" applyNumberFormat="1" applyAlignment="1">
      <alignment horizontal="left"/>
    </xf>
    <xf numFmtId="0" fontId="18" fillId="33" borderId="0" xfId="0" applyFont="1" applyFill="1" applyAlignment="1">
      <alignment wrapText="1"/>
    </xf>
    <xf numFmtId="0" fontId="18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vertical="center"/>
    </xf>
    <xf numFmtId="2" fontId="18" fillId="33" borderId="0" xfId="0" applyNumberFormat="1" applyFont="1" applyFill="1" applyAlignment="1">
      <alignment vertical="center" wrapText="1"/>
    </xf>
    <xf numFmtId="0" fontId="0" fillId="0" borderId="0" xfId="0" applyAlignment="1">
      <alignment vertical="center"/>
    </xf>
    <xf numFmtId="9" fontId="0" fillId="0" borderId="0" xfId="0" applyNumberFormat="1" applyAlignment="1">
      <alignment horizontal="left"/>
    </xf>
    <xf numFmtId="0" fontId="21" fillId="35" borderId="0" xfId="0" applyFont="1" applyFill="1"/>
    <xf numFmtId="0" fontId="20" fillId="0" borderId="0" xfId="0" applyFont="1" applyAlignment="1">
      <alignment horizontal="left"/>
    </xf>
    <xf numFmtId="0" fontId="23" fillId="36" borderId="0" xfId="0" applyFont="1" applyFill="1"/>
    <xf numFmtId="0" fontId="18" fillId="33" borderId="1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/>
    </xf>
    <xf numFmtId="2" fontId="18" fillId="33" borderId="0" xfId="0" applyNumberFormat="1" applyFont="1" applyFill="1" applyAlignment="1">
      <alignment wrapText="1"/>
    </xf>
    <xf numFmtId="165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165" fontId="16" fillId="0" borderId="0" xfId="0" applyNumberFormat="1" applyFont="1" applyAlignment="1">
      <alignment horizontal="left"/>
    </xf>
    <xf numFmtId="2" fontId="22" fillId="0" borderId="0" xfId="0" applyNumberFormat="1" applyFon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E0B12A-04D3-465D-9B5C-B7D2E0FD0334}" name="Table1" displayName="Table1" ref="A1:G33" totalsRowShown="0" headerRowDxfId="5">
  <autoFilter ref="A1:G33" xr:uid="{DEE0B12A-04D3-465D-9B5C-B7D2E0FD0334}"/>
  <tableColumns count="7">
    <tableColumn id="1" xr3:uid="{84185E5B-953B-4A35-9F9F-E03728AD2348}" name="Name" dataDxfId="4"/>
    <tableColumn id="2" xr3:uid="{41EAA4E4-F141-4CA8-9DB9-3E927FF5A75C}" name="Sprint commitments vs deliveries total score (out of 50%)" dataDxfId="3"/>
    <tableColumn id="3" xr3:uid="{6E624A5C-2282-42F6-A1EF-CC50C58E88EE}" name="Test Score Out of  (45)"/>
    <tableColumn id="4" xr3:uid="{B9ACABED-565F-4AE3-93FA-065AE02F4327}" name="Monthly Evaluation (out of 50%)"/>
    <tableColumn id="5" xr3:uid="{65F2B1F8-7C19-4CCC-9CC2-85D8B2E595DA}" name="Total Score (out of 100%)"/>
    <tableColumn id="6" xr3:uid="{315F0280-CA40-4F98-8069-6B144CD4CB2C}" name="Makeup Test Score Out of  (41)"/>
    <tableColumn id="7" xr3:uid="{8AB80797-BE57-4603-847F-66EA2553C182}" name="Makeup Test Score Out of  (50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EDD011-3DD4-44AD-AE04-63BFA0BE1927}" name="Table13" displayName="Table13" ref="A1:F33" totalsRowShown="0" headerRowDxfId="2">
  <autoFilter ref="A1:F33" xr:uid="{DEE0B12A-04D3-465D-9B5C-B7D2E0FD0334}"/>
  <tableColumns count="6">
    <tableColumn id="1" xr3:uid="{2A2A5421-254B-44D3-813B-6CE6D0831251}" name="Name" dataDxfId="1"/>
    <tableColumn id="2" xr3:uid="{219C14DA-7850-4817-953E-7DC1A723EEFD}" name="Sprint commitments vs deliveries total score (out of 30%)" dataDxfId="0"/>
    <tableColumn id="3" xr3:uid="{5C270C1C-3DD3-459B-96D5-A329604EF093}" name="Technical Interview Out of  (100%)"/>
    <tableColumn id="4" xr3:uid="{86C2442A-D8B5-4779-8213-97C407D9BA2A}" name="Monthly Evaluation (out of 70%)"/>
    <tableColumn id="5" xr3:uid="{2554400F-088C-4F68-9E74-796146C804FC}" name="Total Score (out of 100%)"/>
    <tableColumn id="6" xr3:uid="{37B54C6E-D6FD-42FB-8541-356F085597E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CodelineAtyab/Brain360" TargetMode="External"/><Relationship Id="rId1" Type="http://schemas.openxmlformats.org/officeDocument/2006/relationships/hyperlink" Target="https://sharing.clickup.com/90181072599/b/h/6-901807598252-2/5aa5d546ca1a45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CodelineAtyab/Brain360" TargetMode="External"/><Relationship Id="rId2" Type="http://schemas.openxmlformats.org/officeDocument/2006/relationships/hyperlink" Target="https://app.clickup.com/90181072599/v/li/901808512021" TargetMode="External"/><Relationship Id="rId1" Type="http://schemas.openxmlformats.org/officeDocument/2006/relationships/hyperlink" Target="https://app.clickup.com/90181072599/v/li/90180792690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clickup.com/90181072599/v/li/901809326403" TargetMode="External"/><Relationship Id="rId2" Type="http://schemas.openxmlformats.org/officeDocument/2006/relationships/hyperlink" Target="https://app.clickup.com/90181072599/v/li/901808776459" TargetMode="External"/><Relationship Id="rId1" Type="http://schemas.openxmlformats.org/officeDocument/2006/relationships/hyperlink" Target="https://github.com/CodelineAtyab/Brain36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clickup.com/90181072599/v/li/901810289930" TargetMode="External"/><Relationship Id="rId2" Type="http://schemas.openxmlformats.org/officeDocument/2006/relationships/hyperlink" Target="https://app.clickup.com/90181072599/v/li/901809925285" TargetMode="External"/><Relationship Id="rId1" Type="http://schemas.openxmlformats.org/officeDocument/2006/relationships/hyperlink" Target="https://github.com/CodelineAtyab/Brain360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clickup.com/90181072599/v/li/901811335509" TargetMode="External"/><Relationship Id="rId2" Type="http://schemas.openxmlformats.org/officeDocument/2006/relationships/hyperlink" Target="https://app.clickup.com/90181072599/v/li/901810642954" TargetMode="External"/><Relationship Id="rId1" Type="http://schemas.openxmlformats.org/officeDocument/2006/relationships/hyperlink" Target="https://github.com/CodelineAtyab/Brain36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sharing.clickup.com/90181072599/l/h/6-901811513227-1/8f581d0fd74b152" TargetMode="External"/><Relationship Id="rId1" Type="http://schemas.openxmlformats.org/officeDocument/2006/relationships/hyperlink" Target="https://github.com/CodelineAtyab/Brain360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CodelineAtyab/Brain360/pulls?q=is%3Apr+is%3Aclosed" TargetMode="External"/><Relationship Id="rId2" Type="http://schemas.openxmlformats.org/officeDocument/2006/relationships/hyperlink" Target="https://sharing.clickup.com/90181072599/b/h/6-901808512021-2/959c2149d211a25" TargetMode="External"/><Relationship Id="rId1" Type="http://schemas.openxmlformats.org/officeDocument/2006/relationships/hyperlink" Target="https://sharing.clickup.com/90181072599/b/h/6-901808512021-2/959c2149d211a25" TargetMode="External"/><Relationship Id="rId4" Type="http://schemas.openxmlformats.org/officeDocument/2006/relationships/hyperlink" Target="https://github.com/CodelineAtyab/Brain360/pulls?q=is%3Apr+is%3Aclos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D366B-9E52-4CC7-9A86-6B34AE509C5C}">
  <dimension ref="A1:O33"/>
  <sheetViews>
    <sheetView workbookViewId="0">
      <pane xSplit="1" topLeftCell="L1" activePane="topRight" state="frozen"/>
      <selection pane="topRight" activeCell="N1" sqref="N1"/>
    </sheetView>
  </sheetViews>
  <sheetFormatPr defaultRowHeight="14.45"/>
  <cols>
    <col min="1" max="1" width="24.28515625" bestFit="1" customWidth="1"/>
    <col min="2" max="2" width="75.85546875" bestFit="1" customWidth="1"/>
    <col min="3" max="3" width="68.28515625" bestFit="1" customWidth="1"/>
    <col min="4" max="4" width="72.7109375" bestFit="1" customWidth="1"/>
    <col min="5" max="5" width="63.7109375" bestFit="1" customWidth="1"/>
    <col min="6" max="6" width="80" bestFit="1" customWidth="1"/>
    <col min="7" max="7" width="73.85546875" bestFit="1" customWidth="1"/>
    <col min="8" max="9" width="61.7109375" bestFit="1" customWidth="1"/>
    <col min="10" max="10" width="72" bestFit="1" customWidth="1"/>
    <col min="11" max="11" width="60.5703125" bestFit="1" customWidth="1"/>
    <col min="12" max="12" width="61.28515625" bestFit="1" customWidth="1"/>
    <col min="13" max="13" width="46.28515625" bestFit="1" customWidth="1"/>
    <col min="14" max="14" width="36.140625" style="6" customWidth="1"/>
    <col min="15" max="15" width="29" bestFit="1" customWidth="1"/>
  </cols>
  <sheetData>
    <row r="1" spans="1:15" ht="3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8" t="s">
        <v>13</v>
      </c>
      <c r="O1" s="24" t="s">
        <v>14</v>
      </c>
    </row>
    <row r="2" spans="1:15" ht="15">
      <c r="A2" s="3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s="6">
        <v>33.522727272727273</v>
      </c>
      <c r="O2" s="6">
        <v>33.522727272727273</v>
      </c>
    </row>
    <row r="3" spans="1:15" ht="15">
      <c r="A3" s="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38</v>
      </c>
      <c r="L3" t="s">
        <v>39</v>
      </c>
      <c r="M3" t="s">
        <v>40</v>
      </c>
      <c r="N3" s="6">
        <v>10.227272727272728</v>
      </c>
      <c r="O3" s="6">
        <v>10.227272727272728</v>
      </c>
    </row>
    <row r="4" spans="1:15" ht="15">
      <c r="A4" s="3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52</v>
      </c>
      <c r="M4" t="s">
        <v>53</v>
      </c>
      <c r="N4" s="6">
        <v>9.0909090909090917</v>
      </c>
      <c r="O4" s="6">
        <v>9.0909090909090917</v>
      </c>
    </row>
    <row r="5" spans="1:15" ht="15">
      <c r="A5" s="3" t="s">
        <v>54</v>
      </c>
      <c r="B5" t="s">
        <v>55</v>
      </c>
      <c r="C5" t="s">
        <v>56</v>
      </c>
      <c r="D5" t="s">
        <v>57</v>
      </c>
      <c r="E5" t="s">
        <v>58</v>
      </c>
      <c r="F5" t="s">
        <v>59</v>
      </c>
      <c r="G5" t="s">
        <v>60</v>
      </c>
      <c r="H5" t="s">
        <v>61</v>
      </c>
      <c r="I5" t="s">
        <v>62</v>
      </c>
      <c r="J5" t="s">
        <v>63</v>
      </c>
      <c r="K5" t="s">
        <v>64</v>
      </c>
      <c r="L5" t="s">
        <v>65</v>
      </c>
      <c r="M5" t="s">
        <v>66</v>
      </c>
      <c r="N5" s="6">
        <v>13.636363636363635</v>
      </c>
      <c r="O5" s="6">
        <v>13.636363636363635</v>
      </c>
    </row>
    <row r="6" spans="1:15" ht="15">
      <c r="A6" s="3" t="s">
        <v>67</v>
      </c>
      <c r="B6" t="s">
        <v>68</v>
      </c>
      <c r="C6" t="s">
        <v>69</v>
      </c>
      <c r="D6" t="s">
        <v>70</v>
      </c>
      <c r="E6" t="s">
        <v>71</v>
      </c>
      <c r="F6" t="s">
        <v>72</v>
      </c>
      <c r="G6" t="s">
        <v>73</v>
      </c>
      <c r="H6" t="s">
        <v>74</v>
      </c>
      <c r="I6" t="s">
        <v>75</v>
      </c>
      <c r="J6" t="s">
        <v>76</v>
      </c>
      <c r="K6" t="s">
        <v>77</v>
      </c>
      <c r="L6" t="s">
        <v>78</v>
      </c>
      <c r="M6" t="s">
        <v>79</v>
      </c>
      <c r="N6" s="6">
        <v>20.454545454545457</v>
      </c>
      <c r="O6" s="6">
        <v>20.454545454545457</v>
      </c>
    </row>
    <row r="7" spans="1:15" ht="15">
      <c r="A7" s="3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  <c r="H7" t="s">
        <v>87</v>
      </c>
      <c r="I7" t="s">
        <v>88</v>
      </c>
      <c r="J7" t="s">
        <v>89</v>
      </c>
      <c r="K7" t="s">
        <v>90</v>
      </c>
      <c r="L7" t="s">
        <v>91</v>
      </c>
      <c r="M7" t="s">
        <v>92</v>
      </c>
      <c r="N7" s="6">
        <v>6.8181818181818175</v>
      </c>
      <c r="O7" s="6">
        <v>6.8181818181818175</v>
      </c>
    </row>
    <row r="8" spans="1:15" ht="15">
      <c r="A8" s="3" t="s">
        <v>93</v>
      </c>
      <c r="B8" t="s">
        <v>94</v>
      </c>
      <c r="C8" t="s">
        <v>95</v>
      </c>
      <c r="D8" t="s">
        <v>96</v>
      </c>
      <c r="E8" t="s">
        <v>97</v>
      </c>
      <c r="F8" t="s">
        <v>98</v>
      </c>
      <c r="G8" t="s">
        <v>99</v>
      </c>
      <c r="H8" t="s">
        <v>100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s="6">
        <v>30.681818181818183</v>
      </c>
      <c r="O8" s="6">
        <v>30.681818181818183</v>
      </c>
    </row>
    <row r="9" spans="1:15" ht="15">
      <c r="A9" s="3" t="s">
        <v>106</v>
      </c>
      <c r="B9" t="s">
        <v>107</v>
      </c>
      <c r="C9" t="s">
        <v>108</v>
      </c>
      <c r="D9" t="s">
        <v>109</v>
      </c>
      <c r="E9" t="s">
        <v>110</v>
      </c>
      <c r="F9" t="s">
        <v>111</v>
      </c>
      <c r="G9" t="s">
        <v>112</v>
      </c>
      <c r="H9" t="s">
        <v>113</v>
      </c>
      <c r="I9" t="s">
        <v>114</v>
      </c>
      <c r="J9" t="s">
        <v>115</v>
      </c>
      <c r="K9" t="s">
        <v>116</v>
      </c>
      <c r="L9" t="s">
        <v>117</v>
      </c>
      <c r="M9" t="s">
        <v>118</v>
      </c>
      <c r="N9" s="6">
        <v>19.318181818181817</v>
      </c>
      <c r="O9" s="6">
        <v>19.318181818181817</v>
      </c>
    </row>
    <row r="10" spans="1:15" ht="15">
      <c r="A10" s="3" t="s">
        <v>119</v>
      </c>
      <c r="B10" t="s">
        <v>120</v>
      </c>
      <c r="C10" t="s">
        <v>121</v>
      </c>
      <c r="D10" t="s">
        <v>122</v>
      </c>
      <c r="E10" t="s">
        <v>123</v>
      </c>
      <c r="F10" t="s">
        <v>124</v>
      </c>
      <c r="G10" t="s">
        <v>125</v>
      </c>
      <c r="H10" t="s">
        <v>126</v>
      </c>
      <c r="I10" t="s">
        <v>127</v>
      </c>
      <c r="J10" t="s">
        <v>128</v>
      </c>
      <c r="K10" t="s">
        <v>129</v>
      </c>
      <c r="L10" t="s">
        <v>130</v>
      </c>
      <c r="M10" t="s">
        <v>131</v>
      </c>
      <c r="N10" s="6">
        <v>0</v>
      </c>
      <c r="O10" s="6">
        <v>0</v>
      </c>
    </row>
    <row r="11" spans="1:15" ht="15">
      <c r="A11" s="3" t="s">
        <v>132</v>
      </c>
      <c r="B11" t="s">
        <v>133</v>
      </c>
      <c r="C11" t="s">
        <v>134</v>
      </c>
      <c r="D11" t="s">
        <v>135</v>
      </c>
      <c r="E11" t="s">
        <v>136</v>
      </c>
      <c r="F11" t="s">
        <v>137</v>
      </c>
      <c r="G11" t="s">
        <v>138</v>
      </c>
      <c r="H11" t="s">
        <v>139</v>
      </c>
      <c r="I11" t="s">
        <v>140</v>
      </c>
      <c r="J11" t="s">
        <v>141</v>
      </c>
      <c r="K11" t="s">
        <v>142</v>
      </c>
      <c r="L11" t="s">
        <v>143</v>
      </c>
      <c r="M11" t="s">
        <v>144</v>
      </c>
      <c r="N11" s="6">
        <v>10.795454545454545</v>
      </c>
      <c r="O11" s="6">
        <v>10.795454545454545</v>
      </c>
    </row>
    <row r="12" spans="1:15" ht="15">
      <c r="A12" s="3" t="s">
        <v>145</v>
      </c>
      <c r="B12" t="s">
        <v>146</v>
      </c>
      <c r="C12" t="s">
        <v>147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154</v>
      </c>
      <c r="K12" t="s">
        <v>155</v>
      </c>
      <c r="L12" t="s">
        <v>156</v>
      </c>
      <c r="M12" t="s">
        <v>157</v>
      </c>
      <c r="N12" s="6">
        <v>17.045454545454543</v>
      </c>
      <c r="O12" s="6">
        <v>17.045454545454543</v>
      </c>
    </row>
    <row r="13" spans="1:15" ht="15">
      <c r="A13" s="3" t="s">
        <v>158</v>
      </c>
      <c r="B13" t="s">
        <v>159</v>
      </c>
      <c r="C13" t="s">
        <v>160</v>
      </c>
      <c r="D13" t="s">
        <v>161</v>
      </c>
      <c r="E13" t="s">
        <v>162</v>
      </c>
      <c r="F13" t="s">
        <v>163</v>
      </c>
      <c r="G13" t="s">
        <v>164</v>
      </c>
      <c r="H13" t="s">
        <v>165</v>
      </c>
      <c r="I13" t="s">
        <v>166</v>
      </c>
      <c r="J13" t="s">
        <v>167</v>
      </c>
      <c r="K13" t="s">
        <v>168</v>
      </c>
      <c r="L13" t="s">
        <v>169</v>
      </c>
      <c r="M13" t="s">
        <v>170</v>
      </c>
      <c r="N13" s="6">
        <v>12.5</v>
      </c>
      <c r="O13" s="6">
        <v>12.5</v>
      </c>
    </row>
    <row r="14" spans="1:15" ht="15">
      <c r="A14" s="3" t="s">
        <v>171</v>
      </c>
      <c r="B14" t="s">
        <v>172</v>
      </c>
      <c r="C14" t="s">
        <v>173</v>
      </c>
      <c r="D14" t="s">
        <v>174</v>
      </c>
      <c r="E14" t="s">
        <v>175</v>
      </c>
      <c r="F14" t="s">
        <v>176</v>
      </c>
      <c r="G14" t="s">
        <v>177</v>
      </c>
      <c r="H14" t="s">
        <v>178</v>
      </c>
      <c r="I14" t="s">
        <v>179</v>
      </c>
      <c r="J14" t="s">
        <v>180</v>
      </c>
      <c r="K14" t="s">
        <v>77</v>
      </c>
      <c r="L14" t="s">
        <v>181</v>
      </c>
      <c r="M14" t="s">
        <v>182</v>
      </c>
      <c r="N14" s="6">
        <v>21.59090909090909</v>
      </c>
      <c r="O14" s="6">
        <v>21.59090909090909</v>
      </c>
    </row>
    <row r="15" spans="1:15" ht="15">
      <c r="A15" s="3" t="s">
        <v>183</v>
      </c>
      <c r="B15" t="s">
        <v>184</v>
      </c>
      <c r="C15" t="s">
        <v>185</v>
      </c>
      <c r="D15" t="s">
        <v>186</v>
      </c>
      <c r="E15" t="s">
        <v>187</v>
      </c>
      <c r="F15" t="s">
        <v>188</v>
      </c>
      <c r="G15" t="s">
        <v>189</v>
      </c>
      <c r="H15" t="s">
        <v>190</v>
      </c>
      <c r="I15" t="s">
        <v>191</v>
      </c>
      <c r="J15" t="s">
        <v>192</v>
      </c>
      <c r="K15" t="s">
        <v>193</v>
      </c>
      <c r="L15" t="s">
        <v>194</v>
      </c>
      <c r="M15" t="s">
        <v>195</v>
      </c>
      <c r="N15" s="6">
        <v>44.31818181818182</v>
      </c>
      <c r="O15" s="6">
        <v>44.31818181818182</v>
      </c>
    </row>
    <row r="16" spans="1:15" ht="15">
      <c r="A16" s="3" t="s">
        <v>196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H16" t="s">
        <v>100</v>
      </c>
      <c r="I16" t="s">
        <v>203</v>
      </c>
      <c r="J16" t="s">
        <v>204</v>
      </c>
      <c r="K16" t="s">
        <v>205</v>
      </c>
      <c r="L16" t="s">
        <v>206</v>
      </c>
      <c r="M16" t="s">
        <v>207</v>
      </c>
      <c r="N16" s="6">
        <v>15.909090909090908</v>
      </c>
      <c r="O16" s="6">
        <v>15.909090909090908</v>
      </c>
    </row>
    <row r="17" spans="1:15" ht="15">
      <c r="A17" s="3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213</v>
      </c>
      <c r="G17" t="s">
        <v>214</v>
      </c>
      <c r="H17" t="s">
        <v>215</v>
      </c>
      <c r="I17" t="s">
        <v>216</v>
      </c>
      <c r="J17" t="s">
        <v>217</v>
      </c>
      <c r="K17" t="s">
        <v>218</v>
      </c>
      <c r="L17" t="s">
        <v>219</v>
      </c>
      <c r="M17" t="s">
        <v>182</v>
      </c>
      <c r="N17" s="6">
        <v>25</v>
      </c>
      <c r="O17" s="6">
        <v>25</v>
      </c>
    </row>
    <row r="18" spans="1:15" ht="15">
      <c r="A18" s="3" t="s">
        <v>220</v>
      </c>
      <c r="B18" t="s">
        <v>221</v>
      </c>
      <c r="C18" t="s">
        <v>222</v>
      </c>
      <c r="D18" t="s">
        <v>223</v>
      </c>
      <c r="E18" t="s">
        <v>224</v>
      </c>
      <c r="F18" t="s">
        <v>225</v>
      </c>
      <c r="G18" t="s">
        <v>226</v>
      </c>
      <c r="H18" t="s">
        <v>22</v>
      </c>
      <c r="I18" t="s">
        <v>227</v>
      </c>
      <c r="J18" t="s">
        <v>228</v>
      </c>
      <c r="K18" t="s">
        <v>77</v>
      </c>
      <c r="L18" t="s">
        <v>26</v>
      </c>
      <c r="M18" t="s">
        <v>229</v>
      </c>
      <c r="N18" s="6">
        <v>13.636363636363635</v>
      </c>
      <c r="O18" s="6">
        <v>13.636363636363635</v>
      </c>
    </row>
    <row r="19" spans="1:15" ht="15">
      <c r="A19" s="3" t="s">
        <v>230</v>
      </c>
      <c r="B19" t="s">
        <v>231</v>
      </c>
      <c r="C19" t="s">
        <v>232</v>
      </c>
      <c r="D19" t="s">
        <v>233</v>
      </c>
      <c r="E19" t="s">
        <v>234</v>
      </c>
      <c r="F19" t="s">
        <v>235</v>
      </c>
      <c r="G19" t="s">
        <v>236</v>
      </c>
      <c r="H19" t="s">
        <v>237</v>
      </c>
      <c r="I19" t="s">
        <v>166</v>
      </c>
      <c r="J19" t="s">
        <v>238</v>
      </c>
      <c r="K19" t="s">
        <v>239</v>
      </c>
      <c r="L19" t="s">
        <v>240</v>
      </c>
      <c r="M19" t="s">
        <v>241</v>
      </c>
      <c r="N19" s="6">
        <v>10.227272727272728</v>
      </c>
      <c r="O19" s="6">
        <v>10.227272727272728</v>
      </c>
    </row>
    <row r="20" spans="1:15" ht="15">
      <c r="A20" s="3" t="s">
        <v>242</v>
      </c>
      <c r="B20" t="s">
        <v>243</v>
      </c>
      <c r="C20" t="s">
        <v>244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 t="s">
        <v>250</v>
      </c>
      <c r="J20" t="s">
        <v>251</v>
      </c>
      <c r="K20" t="s">
        <v>252</v>
      </c>
      <c r="L20" t="s">
        <v>253</v>
      </c>
      <c r="M20" t="s">
        <v>254</v>
      </c>
      <c r="N20" s="6">
        <v>6.8181818181818175</v>
      </c>
      <c r="O20" s="6">
        <v>6.8181818181818175</v>
      </c>
    </row>
    <row r="21" spans="1:15" ht="15">
      <c r="A21" s="3" t="s">
        <v>255</v>
      </c>
      <c r="B21" t="s">
        <v>256</v>
      </c>
      <c r="C21" t="s">
        <v>257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 t="s">
        <v>263</v>
      </c>
      <c r="J21" t="s">
        <v>264</v>
      </c>
      <c r="K21" t="s">
        <v>265</v>
      </c>
      <c r="L21" t="s">
        <v>266</v>
      </c>
      <c r="M21" t="s">
        <v>267</v>
      </c>
      <c r="N21" s="6">
        <v>15.909090909090908</v>
      </c>
      <c r="O21" s="6">
        <v>15.909090909090908</v>
      </c>
    </row>
    <row r="22" spans="1:15" ht="15">
      <c r="A22" s="3" t="s">
        <v>268</v>
      </c>
      <c r="B22" t="s">
        <v>68</v>
      </c>
      <c r="C22" t="s">
        <v>69</v>
      </c>
      <c r="D22" t="s">
        <v>269</v>
      </c>
      <c r="E22" t="s">
        <v>71</v>
      </c>
      <c r="F22" t="s">
        <v>72</v>
      </c>
      <c r="G22" t="s">
        <v>73</v>
      </c>
      <c r="H22" t="s">
        <v>74</v>
      </c>
      <c r="I22" t="s">
        <v>75</v>
      </c>
      <c r="J22" t="s">
        <v>76</v>
      </c>
      <c r="K22" t="s">
        <v>270</v>
      </c>
      <c r="L22" t="s">
        <v>78</v>
      </c>
      <c r="M22" t="s">
        <v>79</v>
      </c>
      <c r="N22" s="6">
        <v>17.045454545454543</v>
      </c>
      <c r="O22" s="6">
        <v>17.045454545454543</v>
      </c>
    </row>
    <row r="23" spans="1:15" ht="15">
      <c r="A23" s="3" t="s">
        <v>271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s="6">
        <v>19.318181818181817</v>
      </c>
      <c r="O23" s="6">
        <v>19.318181818181817</v>
      </c>
    </row>
    <row r="24" spans="1:15" ht="15">
      <c r="A24" s="3" t="s">
        <v>272</v>
      </c>
      <c r="B24" t="s">
        <v>273</v>
      </c>
      <c r="C24" t="s">
        <v>274</v>
      </c>
      <c r="D24" t="s">
        <v>275</v>
      </c>
      <c r="E24" t="s">
        <v>276</v>
      </c>
      <c r="F24" t="s">
        <v>277</v>
      </c>
      <c r="G24" t="s">
        <v>278</v>
      </c>
      <c r="H24" t="s">
        <v>279</v>
      </c>
      <c r="I24" t="s">
        <v>280</v>
      </c>
      <c r="J24" t="s">
        <v>281</v>
      </c>
      <c r="K24" t="s">
        <v>282</v>
      </c>
      <c r="L24" t="s">
        <v>283</v>
      </c>
      <c r="M24" t="s">
        <v>284</v>
      </c>
      <c r="N24" s="6">
        <v>22.727272727272727</v>
      </c>
      <c r="O24" s="6">
        <v>22.727272727272727</v>
      </c>
    </row>
    <row r="25" spans="1:15">
      <c r="A25" s="1"/>
      <c r="B25" s="1"/>
      <c r="C25" s="1"/>
      <c r="D25" s="1"/>
    </row>
    <row r="26" spans="1:15">
      <c r="A26" s="1"/>
      <c r="B26" s="1"/>
      <c r="C26" s="1"/>
      <c r="D26" s="1"/>
    </row>
    <row r="27" spans="1:15">
      <c r="A27" s="3" t="s">
        <v>285</v>
      </c>
      <c r="B27" s="3" t="s">
        <v>286</v>
      </c>
      <c r="C27" s="3" t="s">
        <v>287</v>
      </c>
    </row>
    <row r="28" spans="1:15">
      <c r="A28" s="3" t="s">
        <v>288</v>
      </c>
      <c r="B28" t="s">
        <v>289</v>
      </c>
      <c r="C28" t="s">
        <v>290</v>
      </c>
    </row>
    <row r="29" spans="1:15">
      <c r="A29" s="3" t="s">
        <v>291</v>
      </c>
      <c r="B29" s="4" t="s">
        <v>292</v>
      </c>
      <c r="C29" t="s">
        <v>293</v>
      </c>
    </row>
    <row r="30" spans="1:15">
      <c r="A30" s="1"/>
      <c r="B30" s="1"/>
      <c r="C30" s="1"/>
      <c r="D30" s="1"/>
    </row>
    <row r="31" spans="1:15">
      <c r="A31" s="1"/>
      <c r="B31" s="1"/>
      <c r="C31" s="1"/>
      <c r="D31" s="1"/>
    </row>
    <row r="32" spans="1:15" ht="15">
      <c r="A32" s="3" t="s">
        <v>294</v>
      </c>
      <c r="B32" s="4" t="s">
        <v>295</v>
      </c>
      <c r="C32" t="s">
        <v>296</v>
      </c>
    </row>
    <row r="33" spans="1:4" ht="15">
      <c r="A33" s="3" t="s">
        <v>297</v>
      </c>
      <c r="B33" s="26" t="s">
        <v>298</v>
      </c>
      <c r="C33" s="26"/>
      <c r="D33" s="26"/>
    </row>
  </sheetData>
  <mergeCells count="1">
    <mergeCell ref="B33:D33"/>
  </mergeCells>
  <hyperlinks>
    <hyperlink ref="B29" r:id="rId1" xr:uid="{8A1917D8-253E-4C1C-80A5-10631650FEF8}"/>
    <hyperlink ref="B32" r:id="rId2" xr:uid="{A3D9C0FB-5C0E-4790-BDD9-D3883F344D0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E0F6-DA40-4AC3-BE85-360C2D887690}">
  <dimension ref="A1:O33"/>
  <sheetViews>
    <sheetView workbookViewId="0">
      <pane xSplit="1" topLeftCell="L1" activePane="topRight" state="frozen"/>
      <selection pane="topRight" activeCell="O1" sqref="O1"/>
    </sheetView>
  </sheetViews>
  <sheetFormatPr defaultRowHeight="15"/>
  <cols>
    <col min="1" max="1" width="24.28515625" bestFit="1" customWidth="1"/>
    <col min="2" max="2" width="75.85546875" bestFit="1" customWidth="1"/>
    <col min="3" max="3" width="68.28515625" bestFit="1" customWidth="1"/>
    <col min="4" max="4" width="72.7109375" bestFit="1" customWidth="1"/>
    <col min="5" max="5" width="63.7109375" bestFit="1" customWidth="1"/>
    <col min="6" max="6" width="80" bestFit="1" customWidth="1"/>
    <col min="7" max="7" width="73.85546875" bestFit="1" customWidth="1"/>
    <col min="8" max="9" width="61.7109375" bestFit="1" customWidth="1"/>
    <col min="10" max="10" width="72" bestFit="1" customWidth="1"/>
    <col min="11" max="11" width="60.5703125" bestFit="1" customWidth="1"/>
    <col min="12" max="12" width="61.28515625" bestFit="1" customWidth="1"/>
    <col min="13" max="13" width="46.28515625" bestFit="1" customWidth="1"/>
    <col min="14" max="14" width="37.7109375" style="6" bestFit="1" customWidth="1"/>
    <col min="15" max="15" width="29" bestFit="1" customWidth="1"/>
  </cols>
  <sheetData>
    <row r="1" spans="1:15" ht="18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5" t="s">
        <v>13</v>
      </c>
      <c r="O1" s="24" t="s">
        <v>14</v>
      </c>
    </row>
    <row r="2" spans="1:15">
      <c r="A2" s="3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s="6">
        <v>100</v>
      </c>
      <c r="O2" s="6">
        <v>100</v>
      </c>
    </row>
    <row r="3" spans="1:15">
      <c r="A3" s="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38</v>
      </c>
      <c r="L3" t="s">
        <v>39</v>
      </c>
      <c r="M3" t="s">
        <v>40</v>
      </c>
      <c r="N3" s="6">
        <v>72.02</v>
      </c>
      <c r="O3" s="6">
        <v>72.02</v>
      </c>
    </row>
    <row r="4" spans="1:15">
      <c r="A4" s="3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52</v>
      </c>
      <c r="M4" t="s">
        <v>53</v>
      </c>
      <c r="N4" s="6">
        <v>89.29</v>
      </c>
      <c r="O4" s="6">
        <v>89.29</v>
      </c>
    </row>
    <row r="5" spans="1:15">
      <c r="A5" s="3" t="s">
        <v>54</v>
      </c>
      <c r="B5" t="s">
        <v>55</v>
      </c>
      <c r="C5" t="s">
        <v>56</v>
      </c>
      <c r="D5" t="s">
        <v>57</v>
      </c>
      <c r="E5" t="s">
        <v>58</v>
      </c>
      <c r="F5" t="s">
        <v>59</v>
      </c>
      <c r="G5" t="s">
        <v>60</v>
      </c>
      <c r="H5" t="s">
        <v>61</v>
      </c>
      <c r="I5" t="s">
        <v>62</v>
      </c>
      <c r="J5" t="s">
        <v>63</v>
      </c>
      <c r="K5" t="s">
        <v>64</v>
      </c>
      <c r="L5" t="s">
        <v>65</v>
      </c>
      <c r="M5" t="s">
        <v>66</v>
      </c>
      <c r="N5" s="6">
        <v>69.05</v>
      </c>
      <c r="O5" s="6">
        <v>69.05</v>
      </c>
    </row>
    <row r="6" spans="1:15">
      <c r="A6" s="3" t="s">
        <v>67</v>
      </c>
      <c r="B6" t="s">
        <v>68</v>
      </c>
      <c r="C6" t="s">
        <v>69</v>
      </c>
      <c r="D6" t="s">
        <v>70</v>
      </c>
      <c r="E6" t="s">
        <v>71</v>
      </c>
      <c r="F6" t="s">
        <v>72</v>
      </c>
      <c r="G6" t="s">
        <v>73</v>
      </c>
      <c r="H6" t="s">
        <v>74</v>
      </c>
      <c r="I6" t="s">
        <v>75</v>
      </c>
      <c r="J6" t="s">
        <v>76</v>
      </c>
      <c r="K6" t="s">
        <v>77</v>
      </c>
      <c r="L6" t="s">
        <v>78</v>
      </c>
      <c r="M6" t="s">
        <v>79</v>
      </c>
      <c r="N6" s="6">
        <v>72.62</v>
      </c>
      <c r="O6" s="6">
        <v>72.62</v>
      </c>
    </row>
    <row r="7" spans="1:15">
      <c r="A7" s="3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  <c r="H7" t="s">
        <v>87</v>
      </c>
      <c r="I7" t="s">
        <v>88</v>
      </c>
      <c r="J7" t="s">
        <v>89</v>
      </c>
      <c r="K7" t="s">
        <v>90</v>
      </c>
      <c r="L7" t="s">
        <v>91</v>
      </c>
      <c r="M7" t="s">
        <v>92</v>
      </c>
      <c r="N7" s="6">
        <v>70.239999999999995</v>
      </c>
      <c r="O7" s="6">
        <v>70.239999999999995</v>
      </c>
    </row>
    <row r="8" spans="1:15">
      <c r="A8" s="3" t="s">
        <v>93</v>
      </c>
      <c r="B8" t="s">
        <v>94</v>
      </c>
      <c r="C8" t="s">
        <v>95</v>
      </c>
      <c r="D8" t="s">
        <v>96</v>
      </c>
      <c r="E8" t="s">
        <v>97</v>
      </c>
      <c r="F8" t="s">
        <v>98</v>
      </c>
      <c r="G8" t="s">
        <v>99</v>
      </c>
      <c r="H8" t="s">
        <v>100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s="6">
        <v>61.9</v>
      </c>
      <c r="O8" s="6">
        <v>61.9</v>
      </c>
    </row>
    <row r="9" spans="1:15">
      <c r="A9" s="3" t="s">
        <v>106</v>
      </c>
      <c r="B9" t="s">
        <v>107</v>
      </c>
      <c r="C9" t="s">
        <v>108</v>
      </c>
      <c r="D9" t="s">
        <v>109</v>
      </c>
      <c r="E9" t="s">
        <v>110</v>
      </c>
      <c r="F9" t="s">
        <v>111</v>
      </c>
      <c r="G9" t="s">
        <v>112</v>
      </c>
      <c r="H9" t="s">
        <v>113</v>
      </c>
      <c r="I9" t="s">
        <v>114</v>
      </c>
      <c r="J9" t="s">
        <v>115</v>
      </c>
      <c r="K9" t="s">
        <v>116</v>
      </c>
      <c r="L9" t="s">
        <v>117</v>
      </c>
      <c r="M9" t="s">
        <v>118</v>
      </c>
      <c r="N9" s="6">
        <v>65.48</v>
      </c>
      <c r="O9" s="6">
        <v>65.48</v>
      </c>
    </row>
    <row r="10" spans="1:15">
      <c r="A10" s="3" t="s">
        <v>119</v>
      </c>
      <c r="B10" t="s">
        <v>120</v>
      </c>
      <c r="C10" t="s">
        <v>121</v>
      </c>
      <c r="D10" t="s">
        <v>122</v>
      </c>
      <c r="E10" t="s">
        <v>123</v>
      </c>
      <c r="F10" t="s">
        <v>124</v>
      </c>
      <c r="G10" t="s">
        <v>125</v>
      </c>
      <c r="H10" t="s">
        <v>126</v>
      </c>
      <c r="I10" t="s">
        <v>127</v>
      </c>
      <c r="J10" t="s">
        <v>128</v>
      </c>
      <c r="K10" t="s">
        <v>129</v>
      </c>
      <c r="L10" t="s">
        <v>130</v>
      </c>
      <c r="M10" t="s">
        <v>131</v>
      </c>
      <c r="N10" s="6">
        <v>54.76</v>
      </c>
      <c r="O10" s="6">
        <v>54.76</v>
      </c>
    </row>
    <row r="11" spans="1:15">
      <c r="A11" s="3" t="s">
        <v>132</v>
      </c>
      <c r="B11" t="s">
        <v>133</v>
      </c>
      <c r="C11" t="s">
        <v>134</v>
      </c>
      <c r="D11" t="s">
        <v>135</v>
      </c>
      <c r="E11" t="s">
        <v>136</v>
      </c>
      <c r="F11" t="s">
        <v>137</v>
      </c>
      <c r="G11" t="s">
        <v>138</v>
      </c>
      <c r="H11" t="s">
        <v>139</v>
      </c>
      <c r="I11" t="s">
        <v>140</v>
      </c>
      <c r="J11" t="s">
        <v>141</v>
      </c>
      <c r="K11" t="s">
        <v>142</v>
      </c>
      <c r="L11" t="s">
        <v>143</v>
      </c>
      <c r="M11" t="s">
        <v>144</v>
      </c>
      <c r="N11" s="7" t="s">
        <v>299</v>
      </c>
      <c r="O11" s="7" t="s">
        <v>299</v>
      </c>
    </row>
    <row r="12" spans="1:15">
      <c r="A12" s="3" t="s">
        <v>145</v>
      </c>
      <c r="B12" t="s">
        <v>146</v>
      </c>
      <c r="C12" t="s">
        <v>147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154</v>
      </c>
      <c r="K12" t="s">
        <v>155</v>
      </c>
      <c r="L12" t="s">
        <v>156</v>
      </c>
      <c r="M12" t="s">
        <v>157</v>
      </c>
      <c r="N12" s="6">
        <v>90.48</v>
      </c>
      <c r="O12" s="6">
        <v>90.48</v>
      </c>
    </row>
    <row r="13" spans="1:15">
      <c r="A13" s="3" t="s">
        <v>158</v>
      </c>
      <c r="B13" t="s">
        <v>159</v>
      </c>
      <c r="C13" t="s">
        <v>160</v>
      </c>
      <c r="D13" t="s">
        <v>161</v>
      </c>
      <c r="E13" t="s">
        <v>162</v>
      </c>
      <c r="F13" t="s">
        <v>163</v>
      </c>
      <c r="G13" t="s">
        <v>164</v>
      </c>
      <c r="H13" t="s">
        <v>165</v>
      </c>
      <c r="I13" t="s">
        <v>166</v>
      </c>
      <c r="J13" t="s">
        <v>167</v>
      </c>
      <c r="K13" t="s">
        <v>168</v>
      </c>
      <c r="L13" t="s">
        <v>169</v>
      </c>
      <c r="M13" t="s">
        <v>170</v>
      </c>
      <c r="N13" s="6">
        <v>57.14</v>
      </c>
      <c r="O13" s="6">
        <v>57.14</v>
      </c>
    </row>
    <row r="14" spans="1:15">
      <c r="A14" s="3" t="s">
        <v>171</v>
      </c>
      <c r="B14" t="s">
        <v>172</v>
      </c>
      <c r="C14" t="s">
        <v>173</v>
      </c>
      <c r="D14" t="s">
        <v>174</v>
      </c>
      <c r="E14" t="s">
        <v>175</v>
      </c>
      <c r="F14" t="s">
        <v>176</v>
      </c>
      <c r="G14" t="s">
        <v>177</v>
      </c>
      <c r="H14" t="s">
        <v>178</v>
      </c>
      <c r="I14" t="s">
        <v>179</v>
      </c>
      <c r="J14" t="s">
        <v>180</v>
      </c>
      <c r="K14" t="s">
        <v>77</v>
      </c>
      <c r="L14" t="s">
        <v>181</v>
      </c>
      <c r="M14" t="s">
        <v>182</v>
      </c>
      <c r="N14" s="6">
        <v>95.24</v>
      </c>
      <c r="O14" s="6">
        <v>95.24</v>
      </c>
    </row>
    <row r="15" spans="1:15">
      <c r="A15" s="3" t="s">
        <v>183</v>
      </c>
      <c r="B15" t="s">
        <v>184</v>
      </c>
      <c r="C15" t="s">
        <v>185</v>
      </c>
      <c r="D15" t="s">
        <v>186</v>
      </c>
      <c r="E15" t="s">
        <v>187</v>
      </c>
      <c r="F15" t="s">
        <v>188</v>
      </c>
      <c r="G15" t="s">
        <v>189</v>
      </c>
      <c r="H15" t="s">
        <v>190</v>
      </c>
      <c r="I15" t="s">
        <v>191</v>
      </c>
      <c r="J15" t="s">
        <v>192</v>
      </c>
      <c r="K15" t="s">
        <v>193</v>
      </c>
      <c r="L15" t="s">
        <v>194</v>
      </c>
      <c r="M15" t="s">
        <v>195</v>
      </c>
      <c r="N15" s="6">
        <v>62.5</v>
      </c>
      <c r="O15" s="6">
        <v>62.5</v>
      </c>
    </row>
    <row r="16" spans="1:15">
      <c r="A16" s="3" t="s">
        <v>196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H16" t="s">
        <v>100</v>
      </c>
      <c r="I16" t="s">
        <v>203</v>
      </c>
      <c r="J16" t="s">
        <v>204</v>
      </c>
      <c r="K16" t="s">
        <v>205</v>
      </c>
      <c r="L16" t="s">
        <v>206</v>
      </c>
      <c r="M16" t="s">
        <v>207</v>
      </c>
      <c r="N16" s="6">
        <v>44.05</v>
      </c>
      <c r="O16" s="6">
        <v>44.05</v>
      </c>
    </row>
    <row r="17" spans="1:15">
      <c r="A17" s="3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213</v>
      </c>
      <c r="G17" t="s">
        <v>214</v>
      </c>
      <c r="H17" t="s">
        <v>215</v>
      </c>
      <c r="I17" t="s">
        <v>216</v>
      </c>
      <c r="J17" t="s">
        <v>217</v>
      </c>
      <c r="K17" t="s">
        <v>218</v>
      </c>
      <c r="L17" t="s">
        <v>219</v>
      </c>
      <c r="M17" t="s">
        <v>182</v>
      </c>
      <c r="N17" s="6">
        <v>86.31</v>
      </c>
      <c r="O17" s="6">
        <v>86.31</v>
      </c>
    </row>
    <row r="18" spans="1:15">
      <c r="A18" s="3" t="s">
        <v>220</v>
      </c>
      <c r="B18" t="s">
        <v>221</v>
      </c>
      <c r="C18" t="s">
        <v>222</v>
      </c>
      <c r="D18" t="s">
        <v>223</v>
      </c>
      <c r="E18" t="s">
        <v>224</v>
      </c>
      <c r="F18" t="s">
        <v>225</v>
      </c>
      <c r="G18" t="s">
        <v>226</v>
      </c>
      <c r="H18" t="s">
        <v>22</v>
      </c>
      <c r="I18" t="s">
        <v>227</v>
      </c>
      <c r="J18" t="s">
        <v>228</v>
      </c>
      <c r="K18" t="s">
        <v>77</v>
      </c>
      <c r="L18" t="s">
        <v>26</v>
      </c>
      <c r="M18" t="s">
        <v>229</v>
      </c>
      <c r="N18" s="6">
        <v>43.45</v>
      </c>
      <c r="O18" s="6">
        <v>43.45</v>
      </c>
    </row>
    <row r="19" spans="1:15">
      <c r="A19" s="3" t="s">
        <v>230</v>
      </c>
      <c r="B19" t="s">
        <v>231</v>
      </c>
      <c r="C19" t="s">
        <v>232</v>
      </c>
      <c r="D19" t="s">
        <v>233</v>
      </c>
      <c r="E19" t="s">
        <v>234</v>
      </c>
      <c r="F19" t="s">
        <v>235</v>
      </c>
      <c r="G19" t="s">
        <v>236</v>
      </c>
      <c r="H19" t="s">
        <v>237</v>
      </c>
      <c r="I19" t="s">
        <v>166</v>
      </c>
      <c r="J19" t="s">
        <v>238</v>
      </c>
      <c r="K19" t="s">
        <v>239</v>
      </c>
      <c r="L19" t="s">
        <v>240</v>
      </c>
      <c r="M19" t="s">
        <v>241</v>
      </c>
      <c r="N19" s="6">
        <v>26.79</v>
      </c>
      <c r="O19" s="6">
        <v>26.79</v>
      </c>
    </row>
    <row r="20" spans="1:15">
      <c r="A20" s="3" t="s">
        <v>242</v>
      </c>
      <c r="B20" t="s">
        <v>243</v>
      </c>
      <c r="C20" t="s">
        <v>244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 t="s">
        <v>250</v>
      </c>
      <c r="J20" t="s">
        <v>251</v>
      </c>
      <c r="K20" t="s">
        <v>252</v>
      </c>
      <c r="L20" t="s">
        <v>253</v>
      </c>
      <c r="M20" t="s">
        <v>254</v>
      </c>
      <c r="N20" s="6">
        <v>61.9</v>
      </c>
      <c r="O20" s="6">
        <v>61.9</v>
      </c>
    </row>
    <row r="21" spans="1:15">
      <c r="A21" s="3" t="s">
        <v>255</v>
      </c>
      <c r="B21" t="s">
        <v>256</v>
      </c>
      <c r="C21" t="s">
        <v>257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 t="s">
        <v>263</v>
      </c>
      <c r="J21" t="s">
        <v>264</v>
      </c>
      <c r="K21" t="s">
        <v>265</v>
      </c>
      <c r="L21" t="s">
        <v>266</v>
      </c>
      <c r="M21" t="s">
        <v>267</v>
      </c>
      <c r="N21" s="6">
        <v>87.5</v>
      </c>
      <c r="O21" s="6">
        <v>87.5</v>
      </c>
    </row>
    <row r="22" spans="1:15">
      <c r="A22" s="3" t="s">
        <v>268</v>
      </c>
      <c r="B22" t="s">
        <v>68</v>
      </c>
      <c r="C22" t="s">
        <v>69</v>
      </c>
      <c r="D22" t="s">
        <v>269</v>
      </c>
      <c r="E22" t="s">
        <v>71</v>
      </c>
      <c r="F22" t="s">
        <v>72</v>
      </c>
      <c r="G22" t="s">
        <v>73</v>
      </c>
      <c r="H22" t="s">
        <v>74</v>
      </c>
      <c r="I22" t="s">
        <v>75</v>
      </c>
      <c r="J22" t="s">
        <v>76</v>
      </c>
      <c r="K22" t="s">
        <v>270</v>
      </c>
      <c r="L22" t="s">
        <v>78</v>
      </c>
      <c r="M22" t="s">
        <v>79</v>
      </c>
      <c r="N22" s="6">
        <v>65.48</v>
      </c>
      <c r="O22" s="6">
        <v>65.48</v>
      </c>
    </row>
    <row r="23" spans="1:15">
      <c r="A23" s="3" t="s">
        <v>271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s="6">
        <v>75</v>
      </c>
      <c r="O23" s="6">
        <v>75</v>
      </c>
    </row>
    <row r="24" spans="1:15">
      <c r="A24" s="3" t="s">
        <v>272</v>
      </c>
      <c r="B24" t="s">
        <v>273</v>
      </c>
      <c r="C24" t="s">
        <v>274</v>
      </c>
      <c r="D24" t="s">
        <v>275</v>
      </c>
      <c r="E24" t="s">
        <v>276</v>
      </c>
      <c r="F24" t="s">
        <v>277</v>
      </c>
      <c r="G24" t="s">
        <v>278</v>
      </c>
      <c r="H24" t="s">
        <v>279</v>
      </c>
      <c r="I24" t="s">
        <v>280</v>
      </c>
      <c r="J24" t="s">
        <v>281</v>
      </c>
      <c r="K24" t="s">
        <v>282</v>
      </c>
      <c r="L24" t="s">
        <v>283</v>
      </c>
      <c r="M24" t="s">
        <v>284</v>
      </c>
      <c r="N24" s="6">
        <v>48.21</v>
      </c>
      <c r="O24" s="6">
        <v>48.21</v>
      </c>
    </row>
    <row r="25" spans="1:15" ht="14.45">
      <c r="A25" s="1"/>
      <c r="B25" s="1"/>
      <c r="C25" s="1"/>
      <c r="D25" s="1"/>
    </row>
    <row r="26" spans="1:15" ht="14.45">
      <c r="A26" s="1"/>
      <c r="B26" s="1"/>
      <c r="C26" s="1"/>
      <c r="D26" s="1"/>
    </row>
    <row r="27" spans="1:15">
      <c r="A27" s="3" t="s">
        <v>285</v>
      </c>
      <c r="B27" s="3" t="s">
        <v>286</v>
      </c>
      <c r="C27" s="3" t="s">
        <v>287</v>
      </c>
      <c r="D27" s="3" t="s">
        <v>300</v>
      </c>
    </row>
    <row r="28" spans="1:15">
      <c r="A28" s="3" t="s">
        <v>301</v>
      </c>
      <c r="B28" s="4" t="s">
        <v>302</v>
      </c>
      <c r="C28" t="s">
        <v>303</v>
      </c>
    </row>
    <row r="29" spans="1:15">
      <c r="A29" s="3" t="s">
        <v>304</v>
      </c>
      <c r="B29" s="4" t="s">
        <v>305</v>
      </c>
      <c r="C29" t="s">
        <v>306</v>
      </c>
    </row>
    <row r="30" spans="1:15" ht="14.45">
      <c r="A30" s="1"/>
      <c r="B30" s="1"/>
      <c r="C30" s="1"/>
      <c r="D30" s="1"/>
    </row>
    <row r="31" spans="1:15">
      <c r="A31" s="1"/>
      <c r="B31" s="1"/>
      <c r="C31" s="1"/>
      <c r="D31" s="1"/>
    </row>
    <row r="32" spans="1:15" ht="14.45" customHeight="1">
      <c r="A32" s="3" t="s">
        <v>294</v>
      </c>
      <c r="B32" s="4" t="s">
        <v>295</v>
      </c>
      <c r="C32" t="s">
        <v>296</v>
      </c>
    </row>
    <row r="33" spans="1:4">
      <c r="A33" s="8" t="s">
        <v>297</v>
      </c>
      <c r="B33" s="26" t="s">
        <v>298</v>
      </c>
      <c r="C33" s="26"/>
      <c r="D33" s="26"/>
    </row>
  </sheetData>
  <mergeCells count="1">
    <mergeCell ref="B33:D33"/>
  </mergeCells>
  <hyperlinks>
    <hyperlink ref="B28" r:id="rId1" xr:uid="{374DAE2B-20C4-4572-9361-1DCFE67126E2}"/>
    <hyperlink ref="B29" r:id="rId2" xr:uid="{8C94C21A-DCFE-42E0-A497-A68ECE42D120}"/>
    <hyperlink ref="B32" r:id="rId3" xr:uid="{76685E32-7C6D-48DA-B1D6-752ED9EB829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A5D2-AE22-4B8D-83EF-41FD58E63F37}">
  <dimension ref="A1:O33"/>
  <sheetViews>
    <sheetView workbookViewId="0">
      <pane xSplit="1" topLeftCell="L1" activePane="topRight" state="frozen"/>
      <selection pane="topRight" activeCell="O1" sqref="O1"/>
    </sheetView>
  </sheetViews>
  <sheetFormatPr defaultRowHeight="15"/>
  <cols>
    <col min="1" max="1" width="24.28515625" bestFit="1" customWidth="1"/>
    <col min="2" max="2" width="75.85546875" bestFit="1" customWidth="1"/>
    <col min="3" max="3" width="68.28515625" bestFit="1" customWidth="1"/>
    <col min="4" max="4" width="72.7109375" bestFit="1" customWidth="1"/>
    <col min="5" max="5" width="63.7109375" bestFit="1" customWidth="1"/>
    <col min="6" max="6" width="80" bestFit="1" customWidth="1"/>
    <col min="7" max="7" width="73.85546875" bestFit="1" customWidth="1"/>
    <col min="8" max="9" width="61.7109375" bestFit="1" customWidth="1"/>
    <col min="10" max="10" width="72" bestFit="1" customWidth="1"/>
    <col min="11" max="11" width="60.5703125" bestFit="1" customWidth="1"/>
    <col min="12" max="12" width="61.28515625" bestFit="1" customWidth="1"/>
    <col min="13" max="13" width="46.28515625" bestFit="1" customWidth="1"/>
    <col min="14" max="14" width="36.140625" style="6" customWidth="1"/>
    <col min="15" max="15" width="29" bestFit="1" customWidth="1"/>
  </cols>
  <sheetData>
    <row r="1" spans="1:15" ht="18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5" t="s">
        <v>13</v>
      </c>
      <c r="O1" s="24" t="s">
        <v>14</v>
      </c>
    </row>
    <row r="2" spans="1:15">
      <c r="A2" s="3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s="6">
        <v>100</v>
      </c>
      <c r="O2" s="6">
        <v>100</v>
      </c>
    </row>
    <row r="3" spans="1:15">
      <c r="A3" s="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38</v>
      </c>
      <c r="L3" t="s">
        <v>39</v>
      </c>
      <c r="M3" t="s">
        <v>40</v>
      </c>
      <c r="N3" s="6">
        <v>85.01</v>
      </c>
      <c r="O3" s="6">
        <v>85.01</v>
      </c>
    </row>
    <row r="4" spans="1:15">
      <c r="A4" s="3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52</v>
      </c>
      <c r="M4" t="s">
        <v>53</v>
      </c>
      <c r="N4" s="6">
        <v>93.65</v>
      </c>
      <c r="O4" s="6">
        <v>93.65</v>
      </c>
    </row>
    <row r="5" spans="1:15">
      <c r="A5" s="3" t="s">
        <v>54</v>
      </c>
      <c r="B5" t="s">
        <v>55</v>
      </c>
      <c r="C5" t="s">
        <v>56</v>
      </c>
      <c r="D5" t="s">
        <v>57</v>
      </c>
      <c r="E5" t="s">
        <v>58</v>
      </c>
      <c r="F5" t="s">
        <v>59</v>
      </c>
      <c r="G5" t="s">
        <v>60</v>
      </c>
      <c r="H5" t="s">
        <v>61</v>
      </c>
      <c r="I5" t="s">
        <v>62</v>
      </c>
      <c r="J5" t="s">
        <v>63</v>
      </c>
      <c r="K5" t="s">
        <v>64</v>
      </c>
      <c r="L5" t="s">
        <v>65</v>
      </c>
      <c r="M5" t="s">
        <v>66</v>
      </c>
      <c r="N5" s="6">
        <v>83.53</v>
      </c>
      <c r="O5" s="6">
        <v>83.53</v>
      </c>
    </row>
    <row r="6" spans="1:15">
      <c r="A6" s="3" t="s">
        <v>67</v>
      </c>
      <c r="B6" t="s">
        <v>68</v>
      </c>
      <c r="C6" t="s">
        <v>69</v>
      </c>
      <c r="D6" t="s">
        <v>70</v>
      </c>
      <c r="E6" t="s">
        <v>71</v>
      </c>
      <c r="F6" t="s">
        <v>72</v>
      </c>
      <c r="G6" t="s">
        <v>73</v>
      </c>
      <c r="H6" t="s">
        <v>74</v>
      </c>
      <c r="I6" t="s">
        <v>75</v>
      </c>
      <c r="J6" t="s">
        <v>76</v>
      </c>
      <c r="K6" t="s">
        <v>77</v>
      </c>
      <c r="L6" t="s">
        <v>78</v>
      </c>
      <c r="M6" t="s">
        <v>79</v>
      </c>
      <c r="N6" s="6">
        <v>85.31</v>
      </c>
      <c r="O6" s="6">
        <v>85.31</v>
      </c>
    </row>
    <row r="7" spans="1:15">
      <c r="A7" s="3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  <c r="H7" t="s">
        <v>87</v>
      </c>
      <c r="I7" t="s">
        <v>88</v>
      </c>
      <c r="J7" t="s">
        <v>89</v>
      </c>
      <c r="K7" t="s">
        <v>90</v>
      </c>
      <c r="L7" t="s">
        <v>91</v>
      </c>
      <c r="M7" t="s">
        <v>92</v>
      </c>
      <c r="N7" s="6">
        <v>84.12</v>
      </c>
      <c r="O7" s="6">
        <v>84.12</v>
      </c>
    </row>
    <row r="8" spans="1:15">
      <c r="A8" s="3" t="s">
        <v>93</v>
      </c>
      <c r="B8" t="s">
        <v>94</v>
      </c>
      <c r="C8" t="s">
        <v>95</v>
      </c>
      <c r="D8" t="s">
        <v>96</v>
      </c>
      <c r="E8" t="s">
        <v>97</v>
      </c>
      <c r="F8" t="s">
        <v>98</v>
      </c>
      <c r="G8" t="s">
        <v>99</v>
      </c>
      <c r="H8" t="s">
        <v>100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s="6">
        <v>79.95</v>
      </c>
      <c r="O8" s="6">
        <v>79.95</v>
      </c>
    </row>
    <row r="9" spans="1:15">
      <c r="A9" s="3" t="s">
        <v>106</v>
      </c>
      <c r="B9" t="s">
        <v>107</v>
      </c>
      <c r="C9" t="s">
        <v>108</v>
      </c>
      <c r="D9" t="s">
        <v>109</v>
      </c>
      <c r="E9" t="s">
        <v>110</v>
      </c>
      <c r="F9" t="s">
        <v>111</v>
      </c>
      <c r="G9" t="s">
        <v>112</v>
      </c>
      <c r="H9" t="s">
        <v>113</v>
      </c>
      <c r="I9" t="s">
        <v>114</v>
      </c>
      <c r="J9" t="s">
        <v>115</v>
      </c>
      <c r="K9" t="s">
        <v>116</v>
      </c>
      <c r="L9" t="s">
        <v>117</v>
      </c>
      <c r="M9" t="s">
        <v>118</v>
      </c>
      <c r="N9" s="6">
        <v>81.739999999999995</v>
      </c>
      <c r="O9" s="6">
        <v>81.739999999999995</v>
      </c>
    </row>
    <row r="10" spans="1:15">
      <c r="A10" s="3" t="s">
        <v>119</v>
      </c>
      <c r="B10" t="s">
        <v>120</v>
      </c>
      <c r="C10" t="s">
        <v>121</v>
      </c>
      <c r="D10" t="s">
        <v>122</v>
      </c>
      <c r="E10" t="s">
        <v>123</v>
      </c>
      <c r="F10" t="s">
        <v>124</v>
      </c>
      <c r="G10" t="s">
        <v>125</v>
      </c>
      <c r="H10" t="s">
        <v>126</v>
      </c>
      <c r="I10" t="s">
        <v>127</v>
      </c>
      <c r="J10" t="s">
        <v>128</v>
      </c>
      <c r="K10" t="s">
        <v>129</v>
      </c>
      <c r="L10" t="s">
        <v>130</v>
      </c>
      <c r="M10" t="s">
        <v>131</v>
      </c>
      <c r="N10" s="6">
        <v>76.38</v>
      </c>
      <c r="O10" s="6">
        <v>76.38</v>
      </c>
    </row>
    <row r="11" spans="1:15">
      <c r="A11" s="3" t="s">
        <v>132</v>
      </c>
      <c r="B11" t="s">
        <v>133</v>
      </c>
      <c r="C11" t="s">
        <v>134</v>
      </c>
      <c r="D11" t="s">
        <v>135</v>
      </c>
      <c r="E11" t="s">
        <v>136</v>
      </c>
      <c r="F11" t="s">
        <v>137</v>
      </c>
      <c r="G11" t="s">
        <v>138</v>
      </c>
      <c r="H11" t="s">
        <v>139</v>
      </c>
      <c r="I11" t="s">
        <v>140</v>
      </c>
      <c r="J11" t="s">
        <v>141</v>
      </c>
      <c r="K11" t="s">
        <v>142</v>
      </c>
      <c r="L11" t="s">
        <v>143</v>
      </c>
      <c r="M11" t="s">
        <v>144</v>
      </c>
      <c r="N11" s="7">
        <v>81.86</v>
      </c>
      <c r="O11" s="7">
        <v>81.86</v>
      </c>
    </row>
    <row r="12" spans="1:15">
      <c r="A12" s="3" t="s">
        <v>145</v>
      </c>
      <c r="B12" t="s">
        <v>146</v>
      </c>
      <c r="C12" t="s">
        <v>147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154</v>
      </c>
      <c r="K12" t="s">
        <v>155</v>
      </c>
      <c r="L12" t="s">
        <v>156</v>
      </c>
      <c r="M12" t="s">
        <v>157</v>
      </c>
      <c r="N12" s="6">
        <v>94.24</v>
      </c>
      <c r="O12" s="6">
        <v>94.24</v>
      </c>
    </row>
    <row r="13" spans="1:15">
      <c r="A13" s="3" t="s">
        <v>158</v>
      </c>
      <c r="B13" t="s">
        <v>159</v>
      </c>
      <c r="C13" t="s">
        <v>160</v>
      </c>
      <c r="D13" t="s">
        <v>161</v>
      </c>
      <c r="E13" t="s">
        <v>162</v>
      </c>
      <c r="F13" t="s">
        <v>163</v>
      </c>
      <c r="G13" t="s">
        <v>164</v>
      </c>
      <c r="H13" t="s">
        <v>165</v>
      </c>
      <c r="I13" t="s">
        <v>166</v>
      </c>
      <c r="J13" t="s">
        <v>167</v>
      </c>
      <c r="K13" t="s">
        <v>168</v>
      </c>
      <c r="L13" t="s">
        <v>169</v>
      </c>
      <c r="M13" t="s">
        <v>170</v>
      </c>
      <c r="N13" s="6">
        <v>77.569999999999993</v>
      </c>
      <c r="O13" s="6">
        <v>77.569999999999993</v>
      </c>
    </row>
    <row r="14" spans="1:15">
      <c r="A14" s="3" t="s">
        <v>171</v>
      </c>
      <c r="B14" t="s">
        <v>172</v>
      </c>
      <c r="C14" t="s">
        <v>173</v>
      </c>
      <c r="D14" t="s">
        <v>174</v>
      </c>
      <c r="E14" t="s">
        <v>175</v>
      </c>
      <c r="F14" t="s">
        <v>176</v>
      </c>
      <c r="G14" t="s">
        <v>177</v>
      </c>
      <c r="H14" t="s">
        <v>178</v>
      </c>
      <c r="I14" t="s">
        <v>179</v>
      </c>
      <c r="J14" t="s">
        <v>180</v>
      </c>
      <c r="K14" t="s">
        <v>77</v>
      </c>
      <c r="L14" t="s">
        <v>181</v>
      </c>
      <c r="M14" t="s">
        <v>182</v>
      </c>
      <c r="N14" s="6">
        <v>96.62</v>
      </c>
      <c r="O14" s="6">
        <v>96.62</v>
      </c>
    </row>
    <row r="15" spans="1:15">
      <c r="A15" s="3" t="s">
        <v>183</v>
      </c>
      <c r="B15" t="s">
        <v>184</v>
      </c>
      <c r="C15" t="s">
        <v>185</v>
      </c>
      <c r="D15" t="s">
        <v>186</v>
      </c>
      <c r="E15" t="s">
        <v>187</v>
      </c>
      <c r="F15" t="s">
        <v>188</v>
      </c>
      <c r="G15" t="s">
        <v>189</v>
      </c>
      <c r="H15" t="s">
        <v>190</v>
      </c>
      <c r="I15" t="s">
        <v>191</v>
      </c>
      <c r="J15" t="s">
        <v>192</v>
      </c>
      <c r="K15" t="s">
        <v>193</v>
      </c>
      <c r="L15" t="s">
        <v>194</v>
      </c>
      <c r="M15" t="s">
        <v>195</v>
      </c>
      <c r="N15" s="6">
        <v>71.59</v>
      </c>
      <c r="O15" s="6">
        <v>71.59</v>
      </c>
    </row>
    <row r="16" spans="1:15">
      <c r="A16" s="3" t="s">
        <v>196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H16" t="s">
        <v>100</v>
      </c>
      <c r="I16" t="s">
        <v>203</v>
      </c>
      <c r="J16" t="s">
        <v>204</v>
      </c>
      <c r="K16" t="s">
        <v>205</v>
      </c>
      <c r="L16" t="s">
        <v>206</v>
      </c>
      <c r="M16" t="s">
        <v>207</v>
      </c>
      <c r="N16" s="6">
        <v>60.93</v>
      </c>
      <c r="O16" s="6">
        <v>60.93</v>
      </c>
    </row>
    <row r="17" spans="1:15">
      <c r="A17" s="3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213</v>
      </c>
      <c r="G17" t="s">
        <v>214</v>
      </c>
      <c r="H17" t="s">
        <v>215</v>
      </c>
      <c r="I17" t="s">
        <v>216</v>
      </c>
      <c r="J17" t="s">
        <v>217</v>
      </c>
      <c r="K17" t="s">
        <v>218</v>
      </c>
      <c r="L17" t="s">
        <v>219</v>
      </c>
      <c r="M17" t="s">
        <v>182</v>
      </c>
      <c r="N17" s="6">
        <v>92.16</v>
      </c>
      <c r="O17" s="6">
        <v>92.16</v>
      </c>
    </row>
    <row r="18" spans="1:15">
      <c r="A18" s="3" t="s">
        <v>220</v>
      </c>
      <c r="B18" t="s">
        <v>221</v>
      </c>
      <c r="C18" t="s">
        <v>222</v>
      </c>
      <c r="D18" t="s">
        <v>223</v>
      </c>
      <c r="E18" t="s">
        <v>224</v>
      </c>
      <c r="F18" t="s">
        <v>225</v>
      </c>
      <c r="G18" t="s">
        <v>226</v>
      </c>
      <c r="H18" t="s">
        <v>22</v>
      </c>
      <c r="I18" t="s">
        <v>227</v>
      </c>
      <c r="J18" t="s">
        <v>228</v>
      </c>
      <c r="K18" t="s">
        <v>77</v>
      </c>
      <c r="L18" t="s">
        <v>26</v>
      </c>
      <c r="M18" t="s">
        <v>229</v>
      </c>
      <c r="N18" s="6">
        <v>61.34</v>
      </c>
      <c r="O18" s="6">
        <v>61.34</v>
      </c>
    </row>
    <row r="19" spans="1:15">
      <c r="A19" s="3" t="s">
        <v>230</v>
      </c>
      <c r="B19" t="s">
        <v>231</v>
      </c>
      <c r="C19" t="s">
        <v>232</v>
      </c>
      <c r="D19" t="s">
        <v>233</v>
      </c>
      <c r="E19" t="s">
        <v>234</v>
      </c>
      <c r="F19" t="s">
        <v>235</v>
      </c>
      <c r="G19" t="s">
        <v>236</v>
      </c>
      <c r="H19" t="s">
        <v>237</v>
      </c>
      <c r="I19" t="s">
        <v>166</v>
      </c>
      <c r="J19" t="s">
        <v>238</v>
      </c>
      <c r="K19" t="s">
        <v>239</v>
      </c>
      <c r="L19" t="s">
        <v>240</v>
      </c>
      <c r="M19" t="s">
        <v>241</v>
      </c>
      <c r="N19" s="6">
        <v>35.07</v>
      </c>
      <c r="O19" s="6">
        <v>35.07</v>
      </c>
    </row>
    <row r="20" spans="1:15">
      <c r="A20" s="3" t="s">
        <v>242</v>
      </c>
      <c r="B20" t="s">
        <v>243</v>
      </c>
      <c r="C20" t="s">
        <v>244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 t="s">
        <v>250</v>
      </c>
      <c r="J20" t="s">
        <v>251</v>
      </c>
      <c r="K20" t="s">
        <v>252</v>
      </c>
      <c r="L20" t="s">
        <v>253</v>
      </c>
      <c r="M20" t="s">
        <v>254</v>
      </c>
      <c r="N20" s="6">
        <v>79.95</v>
      </c>
      <c r="O20" s="6">
        <v>79.95</v>
      </c>
    </row>
    <row r="21" spans="1:15">
      <c r="A21" s="3" t="s">
        <v>255</v>
      </c>
      <c r="B21" t="s">
        <v>256</v>
      </c>
      <c r="C21" t="s">
        <v>257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 t="s">
        <v>263</v>
      </c>
      <c r="J21" t="s">
        <v>264</v>
      </c>
      <c r="K21" t="s">
        <v>265</v>
      </c>
      <c r="L21" t="s">
        <v>266</v>
      </c>
      <c r="M21" t="s">
        <v>267</v>
      </c>
      <c r="N21" s="6">
        <v>92.75</v>
      </c>
      <c r="O21" s="6">
        <v>92.75</v>
      </c>
    </row>
    <row r="22" spans="1:15">
      <c r="A22" s="3" t="s">
        <v>268</v>
      </c>
      <c r="B22" t="s">
        <v>68</v>
      </c>
      <c r="C22" t="s">
        <v>69</v>
      </c>
      <c r="D22" t="s">
        <v>269</v>
      </c>
      <c r="E22" t="s">
        <v>71</v>
      </c>
      <c r="F22" t="s">
        <v>72</v>
      </c>
      <c r="G22" t="s">
        <v>73</v>
      </c>
      <c r="H22" t="s">
        <v>74</v>
      </c>
      <c r="I22" t="s">
        <v>75</v>
      </c>
      <c r="J22" t="s">
        <v>76</v>
      </c>
      <c r="K22" t="s">
        <v>270</v>
      </c>
      <c r="L22" t="s">
        <v>78</v>
      </c>
      <c r="M22" t="s">
        <v>79</v>
      </c>
      <c r="N22" s="6">
        <v>81.739999999999995</v>
      </c>
      <c r="O22" s="6">
        <v>81.739999999999995</v>
      </c>
    </row>
    <row r="23" spans="1:15">
      <c r="A23" s="3" t="s">
        <v>271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s="6">
        <v>86.5</v>
      </c>
      <c r="O23" s="6">
        <v>86.5</v>
      </c>
    </row>
    <row r="24" spans="1:15">
      <c r="A24" s="3" t="s">
        <v>272</v>
      </c>
      <c r="B24" t="s">
        <v>273</v>
      </c>
      <c r="C24" t="s">
        <v>274</v>
      </c>
      <c r="D24" t="s">
        <v>275</v>
      </c>
      <c r="E24" t="s">
        <v>276</v>
      </c>
      <c r="F24" t="s">
        <v>277</v>
      </c>
      <c r="G24" t="s">
        <v>278</v>
      </c>
      <c r="H24" t="s">
        <v>279</v>
      </c>
      <c r="I24" t="s">
        <v>280</v>
      </c>
      <c r="J24" t="s">
        <v>281</v>
      </c>
      <c r="K24" t="s">
        <v>282</v>
      </c>
      <c r="L24" t="s">
        <v>283</v>
      </c>
      <c r="M24" t="s">
        <v>284</v>
      </c>
      <c r="N24" s="6">
        <v>63.5</v>
      </c>
      <c r="O24" s="6">
        <v>63.5</v>
      </c>
    </row>
    <row r="25" spans="1:15" ht="14.45">
      <c r="A25" s="1"/>
      <c r="B25" s="1"/>
      <c r="C25" s="1"/>
      <c r="D25" s="1"/>
    </row>
    <row r="26" spans="1:15" ht="14.45">
      <c r="A26" s="1"/>
      <c r="B26" s="1"/>
      <c r="C26" s="1"/>
      <c r="D26" s="1"/>
    </row>
    <row r="27" spans="1:15">
      <c r="A27" s="3" t="s">
        <v>285</v>
      </c>
      <c r="B27" s="3" t="s">
        <v>286</v>
      </c>
      <c r="C27" s="3" t="s">
        <v>287</v>
      </c>
      <c r="D27" s="3" t="s">
        <v>300</v>
      </c>
    </row>
    <row r="28" spans="1:15">
      <c r="A28" s="3" t="s">
        <v>307</v>
      </c>
      <c r="B28" s="4" t="s">
        <v>308</v>
      </c>
      <c r="C28" t="s">
        <v>309</v>
      </c>
    </row>
    <row r="29" spans="1:15">
      <c r="A29" s="3" t="s">
        <v>310</v>
      </c>
      <c r="B29" s="4" t="s">
        <v>311</v>
      </c>
      <c r="C29" t="s">
        <v>312</v>
      </c>
    </row>
    <row r="30" spans="1:15" ht="14.45">
      <c r="A30" s="1"/>
      <c r="B30" s="1"/>
      <c r="C30" s="1"/>
      <c r="D30" s="1"/>
    </row>
    <row r="31" spans="1:15">
      <c r="A31" s="1"/>
      <c r="B31" s="1"/>
      <c r="C31" s="1"/>
      <c r="D31" s="1"/>
    </row>
    <row r="32" spans="1:15" ht="14.45" customHeight="1">
      <c r="A32" s="3" t="s">
        <v>294</v>
      </c>
      <c r="B32" s="4" t="s">
        <v>295</v>
      </c>
      <c r="C32" t="s">
        <v>296</v>
      </c>
    </row>
    <row r="33" spans="1:4">
      <c r="A33" s="8" t="s">
        <v>297</v>
      </c>
      <c r="B33" s="26" t="s">
        <v>298</v>
      </c>
      <c r="C33" s="26"/>
      <c r="D33" s="26"/>
    </row>
  </sheetData>
  <mergeCells count="1">
    <mergeCell ref="B33:D33"/>
  </mergeCells>
  <hyperlinks>
    <hyperlink ref="B32" r:id="rId1" xr:uid="{77231065-0B62-45D0-96E3-8429F5B64B21}"/>
    <hyperlink ref="B28" r:id="rId2" xr:uid="{3E3FB143-6255-410E-B1BA-B161C67D219F}"/>
    <hyperlink ref="B29" r:id="rId3" xr:uid="{2563011A-08F8-498E-BFA2-2D57E4DC4AE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B0675-FA9D-40DB-AB5A-D52232514B18}">
  <dimension ref="A1:P33"/>
  <sheetViews>
    <sheetView tabSelected="1" workbookViewId="0">
      <pane xSplit="1" topLeftCell="N14" activePane="topRight" state="frozen"/>
      <selection pane="topRight" activeCell="P2" sqref="P2:P24"/>
    </sheetView>
  </sheetViews>
  <sheetFormatPr defaultRowHeight="15"/>
  <cols>
    <col min="1" max="1" width="24.28515625" bestFit="1" customWidth="1"/>
    <col min="2" max="2" width="75.85546875" bestFit="1" customWidth="1"/>
    <col min="3" max="3" width="68.28515625" bestFit="1" customWidth="1"/>
    <col min="4" max="4" width="72.7109375" bestFit="1" customWidth="1"/>
    <col min="5" max="5" width="63.7109375" bestFit="1" customWidth="1"/>
    <col min="6" max="6" width="80" bestFit="1" customWidth="1"/>
    <col min="7" max="7" width="73.85546875" bestFit="1" customWidth="1"/>
    <col min="8" max="9" width="61.7109375" bestFit="1" customWidth="1"/>
    <col min="10" max="10" width="72" bestFit="1" customWidth="1"/>
    <col min="11" max="11" width="60.5703125" bestFit="1" customWidth="1"/>
    <col min="12" max="12" width="61.28515625" bestFit="1" customWidth="1"/>
    <col min="13" max="13" width="46.28515625" bestFit="1" customWidth="1"/>
    <col min="14" max="14" width="65" bestFit="1" customWidth="1"/>
    <col min="15" max="15" width="36.140625" style="6" customWidth="1"/>
    <col min="16" max="16" width="29" bestFit="1" customWidth="1"/>
  </cols>
  <sheetData>
    <row r="1" spans="1:16" s="20" customFormat="1" ht="36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7" t="s">
        <v>313</v>
      </c>
      <c r="O1" s="25" t="s">
        <v>314</v>
      </c>
      <c r="P1" s="19" t="s">
        <v>14</v>
      </c>
    </row>
    <row r="2" spans="1:16">
      <c r="A2" s="3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s="30">
        <v>50</v>
      </c>
      <c r="O2" s="30">
        <v>43.480000000000004</v>
      </c>
      <c r="P2" s="30">
        <f>SUM(N2:O2)</f>
        <v>93.48</v>
      </c>
    </row>
    <row r="3" spans="1:16">
      <c r="A3" s="3" t="s">
        <v>315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38</v>
      </c>
      <c r="L3" t="s">
        <v>39</v>
      </c>
      <c r="M3" t="s">
        <v>40</v>
      </c>
      <c r="N3" s="30">
        <v>50</v>
      </c>
      <c r="O3" s="30">
        <v>38.700000000000003</v>
      </c>
      <c r="P3" s="30">
        <f t="shared" ref="P3:P24" si="0">SUM(N3:O3)</f>
        <v>88.7</v>
      </c>
    </row>
    <row r="4" spans="1:16">
      <c r="A4" s="3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52</v>
      </c>
      <c r="M4" t="s">
        <v>53</v>
      </c>
      <c r="N4" s="30">
        <v>50</v>
      </c>
      <c r="O4" s="30">
        <v>40.869999999999997</v>
      </c>
      <c r="P4" s="30">
        <f t="shared" si="0"/>
        <v>90.87</v>
      </c>
    </row>
    <row r="5" spans="1:16">
      <c r="A5" s="3" t="s">
        <v>54</v>
      </c>
      <c r="B5" t="s">
        <v>55</v>
      </c>
      <c r="C5" t="s">
        <v>56</v>
      </c>
      <c r="D5" t="s">
        <v>57</v>
      </c>
      <c r="E5" t="s">
        <v>58</v>
      </c>
      <c r="F5" t="s">
        <v>59</v>
      </c>
      <c r="G5" t="s">
        <v>60</v>
      </c>
      <c r="H5" t="s">
        <v>61</v>
      </c>
      <c r="I5" t="s">
        <v>62</v>
      </c>
      <c r="J5" t="s">
        <v>63</v>
      </c>
      <c r="K5" t="s">
        <v>64</v>
      </c>
      <c r="L5" t="s">
        <v>65</v>
      </c>
      <c r="M5" t="s">
        <v>66</v>
      </c>
      <c r="N5" s="30">
        <v>50</v>
      </c>
      <c r="O5" s="30">
        <v>43.91</v>
      </c>
      <c r="P5" s="30">
        <f t="shared" si="0"/>
        <v>93.91</v>
      </c>
    </row>
    <row r="6" spans="1:16">
      <c r="A6" s="3" t="s">
        <v>67</v>
      </c>
      <c r="B6" t="s">
        <v>68</v>
      </c>
      <c r="C6" t="s">
        <v>69</v>
      </c>
      <c r="D6" t="s">
        <v>70</v>
      </c>
      <c r="E6" t="s">
        <v>71</v>
      </c>
      <c r="F6" t="s">
        <v>72</v>
      </c>
      <c r="G6" t="s">
        <v>73</v>
      </c>
      <c r="H6" t="s">
        <v>74</v>
      </c>
      <c r="I6" t="s">
        <v>75</v>
      </c>
      <c r="J6" t="s">
        <v>76</v>
      </c>
      <c r="K6" t="s">
        <v>77</v>
      </c>
      <c r="L6" t="s">
        <v>78</v>
      </c>
      <c r="M6" t="s">
        <v>79</v>
      </c>
      <c r="N6" s="30">
        <v>50</v>
      </c>
      <c r="O6" s="30">
        <v>37.830000000000005</v>
      </c>
      <c r="P6" s="30">
        <f t="shared" si="0"/>
        <v>87.830000000000013</v>
      </c>
    </row>
    <row r="7" spans="1:16">
      <c r="A7" s="3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  <c r="H7" t="s">
        <v>87</v>
      </c>
      <c r="I7" t="s">
        <v>88</v>
      </c>
      <c r="J7" t="s">
        <v>89</v>
      </c>
      <c r="K7" t="s">
        <v>90</v>
      </c>
      <c r="L7" t="s">
        <v>91</v>
      </c>
      <c r="M7" t="s">
        <v>92</v>
      </c>
      <c r="N7" s="30">
        <v>50</v>
      </c>
      <c r="O7" s="30">
        <v>32.17</v>
      </c>
      <c r="P7" s="30">
        <f t="shared" si="0"/>
        <v>82.17</v>
      </c>
    </row>
    <row r="8" spans="1:16">
      <c r="A8" s="3" t="s">
        <v>93</v>
      </c>
      <c r="B8" t="s">
        <v>94</v>
      </c>
      <c r="C8" t="s">
        <v>95</v>
      </c>
      <c r="D8" t="s">
        <v>96</v>
      </c>
      <c r="E8" t="s">
        <v>97</v>
      </c>
      <c r="F8" t="s">
        <v>98</v>
      </c>
      <c r="G8" t="s">
        <v>99</v>
      </c>
      <c r="H8" t="s">
        <v>100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s="30">
        <v>50</v>
      </c>
      <c r="O8" s="30">
        <v>38.26</v>
      </c>
      <c r="P8" s="30">
        <f t="shared" si="0"/>
        <v>88.259999999999991</v>
      </c>
    </row>
    <row r="9" spans="1:16">
      <c r="A9" s="3" t="s">
        <v>106</v>
      </c>
      <c r="B9" t="s">
        <v>107</v>
      </c>
      <c r="C9" t="s">
        <v>108</v>
      </c>
      <c r="D9" t="s">
        <v>109</v>
      </c>
      <c r="E9" t="s">
        <v>110</v>
      </c>
      <c r="F9" t="s">
        <v>111</v>
      </c>
      <c r="G9" t="s">
        <v>112</v>
      </c>
      <c r="H9" t="s">
        <v>113</v>
      </c>
      <c r="I9" t="s">
        <v>114</v>
      </c>
      <c r="J9" t="s">
        <v>115</v>
      </c>
      <c r="K9" t="s">
        <v>116</v>
      </c>
      <c r="L9" t="s">
        <v>117</v>
      </c>
      <c r="M9" t="s">
        <v>118</v>
      </c>
      <c r="N9" s="30">
        <v>45</v>
      </c>
      <c r="O9" s="30">
        <v>42.61</v>
      </c>
      <c r="P9" s="30">
        <f t="shared" si="0"/>
        <v>87.61</v>
      </c>
    </row>
    <row r="10" spans="1:16">
      <c r="A10" s="3" t="s">
        <v>119</v>
      </c>
      <c r="B10" t="s">
        <v>120</v>
      </c>
      <c r="C10" t="s">
        <v>121</v>
      </c>
      <c r="D10" t="s">
        <v>122</v>
      </c>
      <c r="E10" t="s">
        <v>123</v>
      </c>
      <c r="F10" t="s">
        <v>124</v>
      </c>
      <c r="G10" t="s">
        <v>125</v>
      </c>
      <c r="H10" t="s">
        <v>126</v>
      </c>
      <c r="I10" t="s">
        <v>127</v>
      </c>
      <c r="J10" t="s">
        <v>128</v>
      </c>
      <c r="K10" t="s">
        <v>129</v>
      </c>
      <c r="L10" t="s">
        <v>130</v>
      </c>
      <c r="M10" t="s">
        <v>131</v>
      </c>
      <c r="N10" s="30">
        <v>45</v>
      </c>
      <c r="O10" s="30">
        <v>39.129999999999995</v>
      </c>
      <c r="P10" s="30">
        <f t="shared" si="0"/>
        <v>84.13</v>
      </c>
    </row>
    <row r="11" spans="1:16">
      <c r="A11" s="3" t="s">
        <v>132</v>
      </c>
      <c r="B11" t="s">
        <v>133</v>
      </c>
      <c r="C11" t="s">
        <v>134</v>
      </c>
      <c r="D11" t="s">
        <v>135</v>
      </c>
      <c r="E11" t="s">
        <v>136</v>
      </c>
      <c r="F11" t="s">
        <v>137</v>
      </c>
      <c r="G11" t="s">
        <v>138</v>
      </c>
      <c r="H11" t="s">
        <v>139</v>
      </c>
      <c r="I11" t="s">
        <v>140</v>
      </c>
      <c r="J11" t="s">
        <v>141</v>
      </c>
      <c r="K11" t="s">
        <v>142</v>
      </c>
      <c r="L11" t="s">
        <v>143</v>
      </c>
      <c r="M11" t="s">
        <v>144</v>
      </c>
      <c r="N11" s="30">
        <v>40</v>
      </c>
      <c r="O11" s="30">
        <v>41.3</v>
      </c>
      <c r="P11" s="30">
        <f t="shared" si="0"/>
        <v>81.3</v>
      </c>
    </row>
    <row r="12" spans="1:16">
      <c r="A12" s="3" t="s">
        <v>145</v>
      </c>
      <c r="B12" t="s">
        <v>146</v>
      </c>
      <c r="C12" t="s">
        <v>147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154</v>
      </c>
      <c r="K12" t="s">
        <v>155</v>
      </c>
      <c r="L12" t="s">
        <v>156</v>
      </c>
      <c r="M12" t="s">
        <v>157</v>
      </c>
      <c r="N12" s="30">
        <v>50</v>
      </c>
      <c r="O12" s="30">
        <v>42.17</v>
      </c>
      <c r="P12" s="30">
        <f t="shared" si="0"/>
        <v>92.17</v>
      </c>
    </row>
    <row r="13" spans="1:16">
      <c r="A13" s="3" t="s">
        <v>158</v>
      </c>
      <c r="B13" t="s">
        <v>159</v>
      </c>
      <c r="C13" t="s">
        <v>160</v>
      </c>
      <c r="D13" t="s">
        <v>161</v>
      </c>
      <c r="E13" t="s">
        <v>162</v>
      </c>
      <c r="F13" t="s">
        <v>163</v>
      </c>
      <c r="G13" t="s">
        <v>164</v>
      </c>
      <c r="H13" t="s">
        <v>165</v>
      </c>
      <c r="I13" t="s">
        <v>166</v>
      </c>
      <c r="J13" t="s">
        <v>167</v>
      </c>
      <c r="K13" t="s">
        <v>168</v>
      </c>
      <c r="L13" t="s">
        <v>169</v>
      </c>
      <c r="M13" t="s">
        <v>170</v>
      </c>
      <c r="N13" s="30">
        <v>50</v>
      </c>
      <c r="O13" s="30">
        <v>34.78</v>
      </c>
      <c r="P13" s="30">
        <f t="shared" si="0"/>
        <v>84.78</v>
      </c>
    </row>
    <row r="14" spans="1:16">
      <c r="A14" s="3" t="s">
        <v>171</v>
      </c>
      <c r="B14" t="s">
        <v>172</v>
      </c>
      <c r="C14" t="s">
        <v>173</v>
      </c>
      <c r="D14" t="s">
        <v>174</v>
      </c>
      <c r="E14" t="s">
        <v>175</v>
      </c>
      <c r="F14" t="s">
        <v>176</v>
      </c>
      <c r="G14" t="s">
        <v>177</v>
      </c>
      <c r="H14" t="s">
        <v>178</v>
      </c>
      <c r="I14" t="s">
        <v>179</v>
      </c>
      <c r="J14" t="s">
        <v>180</v>
      </c>
      <c r="K14" t="s">
        <v>77</v>
      </c>
      <c r="L14" t="s">
        <v>181</v>
      </c>
      <c r="M14" t="s">
        <v>182</v>
      </c>
      <c r="N14" s="30">
        <v>50</v>
      </c>
      <c r="O14" s="32">
        <v>42.61</v>
      </c>
      <c r="P14" s="30">
        <f t="shared" si="0"/>
        <v>92.61</v>
      </c>
    </row>
    <row r="15" spans="1:16">
      <c r="A15" s="3" t="s">
        <v>183</v>
      </c>
      <c r="B15" t="s">
        <v>184</v>
      </c>
      <c r="C15" t="s">
        <v>185</v>
      </c>
      <c r="D15" t="s">
        <v>186</v>
      </c>
      <c r="E15" t="s">
        <v>187</v>
      </c>
      <c r="F15" t="s">
        <v>188</v>
      </c>
      <c r="G15" t="s">
        <v>189</v>
      </c>
      <c r="H15" t="s">
        <v>190</v>
      </c>
      <c r="I15" t="s">
        <v>191</v>
      </c>
      <c r="J15" t="s">
        <v>192</v>
      </c>
      <c r="K15" t="s">
        <v>193</v>
      </c>
      <c r="L15" t="s">
        <v>194</v>
      </c>
      <c r="M15" t="s">
        <v>195</v>
      </c>
      <c r="N15" s="30">
        <v>50</v>
      </c>
      <c r="O15" s="30">
        <v>36.090000000000003</v>
      </c>
      <c r="P15" s="30">
        <f t="shared" si="0"/>
        <v>86.09</v>
      </c>
    </row>
    <row r="16" spans="1:16">
      <c r="A16" s="3" t="s">
        <v>196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H16" t="s">
        <v>100</v>
      </c>
      <c r="I16" t="s">
        <v>203</v>
      </c>
      <c r="J16" t="s">
        <v>204</v>
      </c>
      <c r="K16" t="s">
        <v>205</v>
      </c>
      <c r="L16" t="s">
        <v>206</v>
      </c>
      <c r="M16" t="s">
        <v>207</v>
      </c>
      <c r="N16" s="30">
        <v>50</v>
      </c>
      <c r="O16" s="30">
        <v>36.090000000000003</v>
      </c>
      <c r="P16" s="30">
        <f t="shared" si="0"/>
        <v>86.09</v>
      </c>
    </row>
    <row r="17" spans="1:16">
      <c r="A17" s="3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213</v>
      </c>
      <c r="G17" t="s">
        <v>214</v>
      </c>
      <c r="H17" t="s">
        <v>215</v>
      </c>
      <c r="I17" t="s">
        <v>216</v>
      </c>
      <c r="J17" t="s">
        <v>217</v>
      </c>
      <c r="K17" t="s">
        <v>218</v>
      </c>
      <c r="L17" t="s">
        <v>219</v>
      </c>
      <c r="M17" t="s">
        <v>182</v>
      </c>
      <c r="N17" s="30">
        <v>50</v>
      </c>
      <c r="O17" s="30">
        <v>41.3</v>
      </c>
      <c r="P17" s="30">
        <f t="shared" si="0"/>
        <v>91.3</v>
      </c>
    </row>
    <row r="18" spans="1:16">
      <c r="A18" s="3" t="s">
        <v>220</v>
      </c>
      <c r="B18" t="s">
        <v>221</v>
      </c>
      <c r="C18" t="s">
        <v>222</v>
      </c>
      <c r="D18" t="s">
        <v>223</v>
      </c>
      <c r="E18" t="s">
        <v>224</v>
      </c>
      <c r="F18" t="s">
        <v>225</v>
      </c>
      <c r="G18" t="s">
        <v>226</v>
      </c>
      <c r="H18" t="s">
        <v>22</v>
      </c>
      <c r="I18" t="s">
        <v>227</v>
      </c>
      <c r="J18" t="s">
        <v>228</v>
      </c>
      <c r="K18" t="s">
        <v>77</v>
      </c>
      <c r="L18" t="s">
        <v>26</v>
      </c>
      <c r="M18" t="s">
        <v>229</v>
      </c>
      <c r="N18" s="30">
        <v>50</v>
      </c>
      <c r="O18" s="30">
        <v>41.3</v>
      </c>
      <c r="P18" s="30">
        <f t="shared" si="0"/>
        <v>91.3</v>
      </c>
    </row>
    <row r="19" spans="1:16">
      <c r="A19" s="3" t="s">
        <v>230</v>
      </c>
      <c r="B19" t="s">
        <v>231</v>
      </c>
      <c r="C19" t="s">
        <v>232</v>
      </c>
      <c r="D19" t="s">
        <v>233</v>
      </c>
      <c r="E19" t="s">
        <v>234</v>
      </c>
      <c r="F19" t="s">
        <v>235</v>
      </c>
      <c r="G19" t="s">
        <v>236</v>
      </c>
      <c r="H19" t="s">
        <v>237</v>
      </c>
      <c r="I19" t="s">
        <v>166</v>
      </c>
      <c r="J19" t="s">
        <v>238</v>
      </c>
      <c r="K19" t="s">
        <v>239</v>
      </c>
      <c r="L19" t="s">
        <v>240</v>
      </c>
      <c r="M19" t="s">
        <v>241</v>
      </c>
      <c r="N19" s="30">
        <v>50</v>
      </c>
      <c r="O19" s="30">
        <v>33.910000000000004</v>
      </c>
      <c r="P19" s="30">
        <f t="shared" si="0"/>
        <v>83.91</v>
      </c>
    </row>
    <row r="20" spans="1:16">
      <c r="A20" s="3" t="s">
        <v>242</v>
      </c>
      <c r="B20" t="s">
        <v>243</v>
      </c>
      <c r="C20" t="s">
        <v>244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 t="s">
        <v>250</v>
      </c>
      <c r="J20" t="s">
        <v>251</v>
      </c>
      <c r="K20" t="s">
        <v>252</v>
      </c>
      <c r="L20" t="s">
        <v>253</v>
      </c>
      <c r="M20" t="s">
        <v>254</v>
      </c>
      <c r="N20" s="30">
        <v>40</v>
      </c>
      <c r="O20" s="30">
        <v>40.07</v>
      </c>
      <c r="P20" s="30">
        <f t="shared" si="0"/>
        <v>80.069999999999993</v>
      </c>
    </row>
    <row r="21" spans="1:16">
      <c r="A21" s="3" t="s">
        <v>255</v>
      </c>
      <c r="B21" t="s">
        <v>256</v>
      </c>
      <c r="C21" t="s">
        <v>257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 t="s">
        <v>263</v>
      </c>
      <c r="J21" t="s">
        <v>264</v>
      </c>
      <c r="K21" t="s">
        <v>265</v>
      </c>
      <c r="L21" t="s">
        <v>266</v>
      </c>
      <c r="M21" t="s">
        <v>267</v>
      </c>
      <c r="N21" s="30">
        <v>40</v>
      </c>
      <c r="O21" s="30">
        <v>36.39</v>
      </c>
      <c r="P21" s="30">
        <f t="shared" si="0"/>
        <v>76.39</v>
      </c>
    </row>
    <row r="22" spans="1:16">
      <c r="A22" s="3" t="s">
        <v>268</v>
      </c>
      <c r="B22" t="s">
        <v>68</v>
      </c>
      <c r="C22" t="s">
        <v>69</v>
      </c>
      <c r="D22" t="s">
        <v>269</v>
      </c>
      <c r="E22" t="s">
        <v>71</v>
      </c>
      <c r="F22" t="s">
        <v>72</v>
      </c>
      <c r="G22" t="s">
        <v>73</v>
      </c>
      <c r="H22" t="s">
        <v>74</v>
      </c>
      <c r="I22" t="s">
        <v>75</v>
      </c>
      <c r="J22" t="s">
        <v>76</v>
      </c>
      <c r="K22" t="s">
        <v>270</v>
      </c>
      <c r="L22" t="s">
        <v>78</v>
      </c>
      <c r="M22" t="s">
        <v>79</v>
      </c>
      <c r="N22" s="30">
        <v>45</v>
      </c>
      <c r="O22" s="30">
        <v>41.3</v>
      </c>
      <c r="P22" s="30">
        <f t="shared" si="0"/>
        <v>86.3</v>
      </c>
    </row>
    <row r="23" spans="1:16">
      <c r="A23" s="3" t="s">
        <v>271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s="30">
        <v>50</v>
      </c>
      <c r="O23" s="30">
        <v>37.830000000000005</v>
      </c>
      <c r="P23" s="30">
        <f t="shared" si="0"/>
        <v>87.830000000000013</v>
      </c>
    </row>
    <row r="24" spans="1:16">
      <c r="A24" s="3" t="s">
        <v>272</v>
      </c>
      <c r="B24" t="s">
        <v>273</v>
      </c>
      <c r="C24" t="s">
        <v>274</v>
      </c>
      <c r="D24" t="s">
        <v>275</v>
      </c>
      <c r="E24" t="s">
        <v>276</v>
      </c>
      <c r="F24" t="s">
        <v>277</v>
      </c>
      <c r="G24" t="s">
        <v>278</v>
      </c>
      <c r="H24" t="s">
        <v>279</v>
      </c>
      <c r="I24" t="s">
        <v>280</v>
      </c>
      <c r="J24" t="s">
        <v>281</v>
      </c>
      <c r="K24" t="s">
        <v>282</v>
      </c>
      <c r="L24" t="s">
        <v>283</v>
      </c>
      <c r="M24" t="s">
        <v>284</v>
      </c>
      <c r="N24" s="30">
        <v>45</v>
      </c>
      <c r="O24" s="30">
        <v>46.52</v>
      </c>
      <c r="P24" s="30">
        <f t="shared" si="0"/>
        <v>91.52000000000001</v>
      </c>
    </row>
    <row r="25" spans="1:16">
      <c r="A25" s="1"/>
      <c r="B25" s="1"/>
      <c r="C25" s="1"/>
      <c r="D25" s="1"/>
    </row>
    <row r="26" spans="1:16">
      <c r="A26" s="1"/>
      <c r="B26" s="1"/>
      <c r="C26" s="1"/>
      <c r="D26" s="1"/>
    </row>
    <row r="27" spans="1:16">
      <c r="A27" s="3" t="s">
        <v>285</v>
      </c>
      <c r="B27" s="3" t="s">
        <v>286</v>
      </c>
      <c r="C27" s="3" t="s">
        <v>287</v>
      </c>
      <c r="D27" s="3" t="s">
        <v>300</v>
      </c>
    </row>
    <row r="28" spans="1:16">
      <c r="A28" s="3" t="s">
        <v>316</v>
      </c>
      <c r="B28" s="4" t="s">
        <v>317</v>
      </c>
      <c r="C28" t="s">
        <v>318</v>
      </c>
    </row>
    <row r="29" spans="1:16">
      <c r="A29" s="3" t="s">
        <v>319</v>
      </c>
      <c r="B29" s="4" t="s">
        <v>320</v>
      </c>
      <c r="C29" t="s">
        <v>321</v>
      </c>
    </row>
    <row r="30" spans="1:16">
      <c r="A30" s="1"/>
      <c r="B30" s="1"/>
      <c r="C30" s="1"/>
      <c r="D30" s="1"/>
    </row>
    <row r="31" spans="1:16">
      <c r="A31" s="1"/>
      <c r="B31" s="1"/>
      <c r="C31" s="1"/>
      <c r="D31" s="1"/>
    </row>
    <row r="32" spans="1:16" ht="14.45" customHeight="1">
      <c r="A32" s="3" t="s">
        <v>294</v>
      </c>
      <c r="B32" s="4" t="s">
        <v>295</v>
      </c>
      <c r="C32" t="s">
        <v>296</v>
      </c>
    </row>
    <row r="33" spans="1:4">
      <c r="A33" s="8" t="s">
        <v>297</v>
      </c>
      <c r="B33" s="26" t="s">
        <v>298</v>
      </c>
      <c r="C33" s="26"/>
      <c r="D33" s="26"/>
    </row>
  </sheetData>
  <mergeCells count="1">
    <mergeCell ref="B33:D33"/>
  </mergeCells>
  <hyperlinks>
    <hyperlink ref="B32" r:id="rId1" xr:uid="{917F1671-3197-4F91-B892-7BC7DD36B157}"/>
    <hyperlink ref="B28" r:id="rId2" xr:uid="{0C30EBF9-45FA-45BE-94E2-D8EAAC96246E}"/>
    <hyperlink ref="B29" r:id="rId3" xr:uid="{F8C49B4F-C5D3-4BB4-A48D-B3F41529691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133DC-A014-49F2-9DDA-CFD72DC5578D}">
  <dimension ref="A1:O34"/>
  <sheetViews>
    <sheetView workbookViewId="0">
      <pane xSplit="1" topLeftCell="M1" activePane="topRight" state="frozen"/>
      <selection pane="topRight" activeCell="S20" sqref="S20"/>
    </sheetView>
  </sheetViews>
  <sheetFormatPr defaultRowHeight="15"/>
  <cols>
    <col min="1" max="1" width="24.28515625" bestFit="1" customWidth="1"/>
    <col min="2" max="2" width="75.85546875" bestFit="1" customWidth="1"/>
    <col min="3" max="3" width="68.28515625" bestFit="1" customWidth="1"/>
    <col min="4" max="4" width="72.7109375" bestFit="1" customWidth="1"/>
    <col min="5" max="5" width="63.7109375" bestFit="1" customWidth="1"/>
    <col min="6" max="6" width="80" bestFit="1" customWidth="1"/>
    <col min="7" max="7" width="73.85546875" bestFit="1" customWidth="1"/>
    <col min="8" max="9" width="61.7109375" bestFit="1" customWidth="1"/>
    <col min="10" max="10" width="72" bestFit="1" customWidth="1"/>
    <col min="11" max="11" width="60.5703125" bestFit="1" customWidth="1"/>
    <col min="12" max="12" width="61.28515625" bestFit="1" customWidth="1"/>
    <col min="13" max="13" width="46.28515625" bestFit="1" customWidth="1"/>
    <col min="14" max="14" width="36.140625" style="6" customWidth="1"/>
    <col min="15" max="15" width="29" bestFit="1" customWidth="1"/>
  </cols>
  <sheetData>
    <row r="1" spans="1:15" ht="18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5" t="s">
        <v>322</v>
      </c>
      <c r="O1" s="24" t="s">
        <v>14</v>
      </c>
    </row>
    <row r="2" spans="1:15">
      <c r="A2" s="3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s="6">
        <v>100</v>
      </c>
      <c r="O2" s="6">
        <v>100</v>
      </c>
    </row>
    <row r="3" spans="1:15">
      <c r="A3" s="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38</v>
      </c>
      <c r="L3" t="s">
        <v>39</v>
      </c>
      <c r="M3" t="s">
        <v>40</v>
      </c>
      <c r="N3" s="6">
        <v>70</v>
      </c>
      <c r="O3" s="6">
        <v>70</v>
      </c>
    </row>
    <row r="4" spans="1:15">
      <c r="A4" s="3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52</v>
      </c>
      <c r="M4" t="s">
        <v>53</v>
      </c>
      <c r="N4" s="6">
        <v>95</v>
      </c>
      <c r="O4" s="6">
        <v>95</v>
      </c>
    </row>
    <row r="5" spans="1:15">
      <c r="A5" s="3" t="s">
        <v>54</v>
      </c>
      <c r="B5" t="s">
        <v>55</v>
      </c>
      <c r="C5" t="s">
        <v>56</v>
      </c>
      <c r="D5" t="s">
        <v>57</v>
      </c>
      <c r="E5" t="s">
        <v>58</v>
      </c>
      <c r="F5" t="s">
        <v>59</v>
      </c>
      <c r="G5" t="s">
        <v>60</v>
      </c>
      <c r="H5" t="s">
        <v>61</v>
      </c>
      <c r="I5" t="s">
        <v>62</v>
      </c>
      <c r="J5" t="s">
        <v>63</v>
      </c>
      <c r="K5" t="s">
        <v>64</v>
      </c>
      <c r="L5" t="s">
        <v>65</v>
      </c>
      <c r="M5" t="s">
        <v>66</v>
      </c>
      <c r="N5" s="6">
        <v>95</v>
      </c>
      <c r="O5" s="6">
        <v>95</v>
      </c>
    </row>
    <row r="6" spans="1:15">
      <c r="A6" s="3" t="s">
        <v>67</v>
      </c>
      <c r="B6" t="s">
        <v>68</v>
      </c>
      <c r="C6" t="s">
        <v>69</v>
      </c>
      <c r="D6" t="s">
        <v>70</v>
      </c>
      <c r="E6" t="s">
        <v>71</v>
      </c>
      <c r="F6" t="s">
        <v>72</v>
      </c>
      <c r="G6" t="s">
        <v>73</v>
      </c>
      <c r="H6" t="s">
        <v>74</v>
      </c>
      <c r="I6" t="s">
        <v>75</v>
      </c>
      <c r="J6" t="s">
        <v>76</v>
      </c>
      <c r="K6" t="s">
        <v>77</v>
      </c>
      <c r="L6" t="s">
        <v>78</v>
      </c>
      <c r="M6" t="s">
        <v>79</v>
      </c>
      <c r="N6" s="6">
        <v>95</v>
      </c>
      <c r="O6" s="6">
        <v>95</v>
      </c>
    </row>
    <row r="7" spans="1:15">
      <c r="A7" s="3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  <c r="H7" t="s">
        <v>87</v>
      </c>
      <c r="I7" t="s">
        <v>88</v>
      </c>
      <c r="J7" t="s">
        <v>89</v>
      </c>
      <c r="K7" t="s">
        <v>90</v>
      </c>
      <c r="L7" t="s">
        <v>91</v>
      </c>
      <c r="M7" t="s">
        <v>92</v>
      </c>
      <c r="N7" s="6">
        <v>80</v>
      </c>
      <c r="O7" s="6">
        <v>80</v>
      </c>
    </row>
    <row r="8" spans="1:15">
      <c r="A8" s="3" t="s">
        <v>93</v>
      </c>
      <c r="B8" t="s">
        <v>94</v>
      </c>
      <c r="C8" t="s">
        <v>95</v>
      </c>
      <c r="D8" t="s">
        <v>96</v>
      </c>
      <c r="E8" t="s">
        <v>97</v>
      </c>
      <c r="F8" t="s">
        <v>98</v>
      </c>
      <c r="G8" t="s">
        <v>99</v>
      </c>
      <c r="H8" t="s">
        <v>100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s="6">
        <v>100</v>
      </c>
      <c r="O8" s="6">
        <v>100</v>
      </c>
    </row>
    <row r="9" spans="1:15">
      <c r="A9" s="3" t="s">
        <v>106</v>
      </c>
      <c r="B9" t="s">
        <v>107</v>
      </c>
      <c r="C9" t="s">
        <v>108</v>
      </c>
      <c r="D9" t="s">
        <v>109</v>
      </c>
      <c r="E9" t="s">
        <v>110</v>
      </c>
      <c r="F9" t="s">
        <v>111</v>
      </c>
      <c r="G9" t="s">
        <v>112</v>
      </c>
      <c r="H9" t="s">
        <v>113</v>
      </c>
      <c r="I9" t="s">
        <v>114</v>
      </c>
      <c r="J9" t="s">
        <v>115</v>
      </c>
      <c r="K9" t="s">
        <v>116</v>
      </c>
      <c r="L9" t="s">
        <v>117</v>
      </c>
      <c r="M9" t="s">
        <v>118</v>
      </c>
      <c r="N9" s="6">
        <v>80</v>
      </c>
      <c r="O9" s="6">
        <v>80</v>
      </c>
    </row>
    <row r="10" spans="1:15">
      <c r="A10" s="3" t="s">
        <v>119</v>
      </c>
      <c r="B10" t="s">
        <v>120</v>
      </c>
      <c r="C10" t="s">
        <v>121</v>
      </c>
      <c r="D10" t="s">
        <v>122</v>
      </c>
      <c r="E10" t="s">
        <v>123</v>
      </c>
      <c r="F10" t="s">
        <v>124</v>
      </c>
      <c r="G10" t="s">
        <v>125</v>
      </c>
      <c r="H10" t="s">
        <v>126</v>
      </c>
      <c r="I10" t="s">
        <v>127</v>
      </c>
      <c r="J10" t="s">
        <v>128</v>
      </c>
      <c r="K10" t="s">
        <v>129</v>
      </c>
      <c r="L10" t="s">
        <v>130</v>
      </c>
      <c r="M10" t="s">
        <v>131</v>
      </c>
      <c r="N10" s="6">
        <v>80</v>
      </c>
      <c r="O10" s="6">
        <v>80</v>
      </c>
    </row>
    <row r="11" spans="1:15">
      <c r="A11" s="3" t="s">
        <v>132</v>
      </c>
      <c r="B11" t="s">
        <v>133</v>
      </c>
      <c r="C11" t="s">
        <v>134</v>
      </c>
      <c r="D11" t="s">
        <v>135</v>
      </c>
      <c r="E11" t="s">
        <v>136</v>
      </c>
      <c r="F11" t="s">
        <v>137</v>
      </c>
      <c r="G11" t="s">
        <v>138</v>
      </c>
      <c r="H11" t="s">
        <v>139</v>
      </c>
      <c r="I11" t="s">
        <v>140</v>
      </c>
      <c r="J11" t="s">
        <v>141</v>
      </c>
      <c r="K11" t="s">
        <v>142</v>
      </c>
      <c r="L11" t="s">
        <v>143</v>
      </c>
      <c r="M11" t="s">
        <v>144</v>
      </c>
      <c r="N11" s="7">
        <v>80</v>
      </c>
      <c r="O11" s="7">
        <v>80</v>
      </c>
    </row>
    <row r="12" spans="1:15">
      <c r="A12" s="3" t="s">
        <v>145</v>
      </c>
      <c r="B12" t="s">
        <v>146</v>
      </c>
      <c r="C12" t="s">
        <v>147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154</v>
      </c>
      <c r="K12" t="s">
        <v>155</v>
      </c>
      <c r="L12" t="s">
        <v>156</v>
      </c>
      <c r="M12" t="s">
        <v>157</v>
      </c>
      <c r="N12" s="6">
        <v>90.48</v>
      </c>
      <c r="O12" s="6">
        <v>90.48</v>
      </c>
    </row>
    <row r="13" spans="1:15">
      <c r="A13" s="3" t="s">
        <v>158</v>
      </c>
      <c r="B13" t="s">
        <v>159</v>
      </c>
      <c r="C13" t="s">
        <v>160</v>
      </c>
      <c r="D13" t="s">
        <v>161</v>
      </c>
      <c r="E13" t="s">
        <v>162</v>
      </c>
      <c r="F13" t="s">
        <v>163</v>
      </c>
      <c r="G13" t="s">
        <v>164</v>
      </c>
      <c r="H13" t="s">
        <v>165</v>
      </c>
      <c r="I13" t="s">
        <v>166</v>
      </c>
      <c r="J13" t="s">
        <v>167</v>
      </c>
      <c r="K13" t="s">
        <v>168</v>
      </c>
      <c r="L13" t="s">
        <v>169</v>
      </c>
      <c r="M13" t="s">
        <v>170</v>
      </c>
      <c r="N13" s="6">
        <v>100</v>
      </c>
      <c r="O13" s="6">
        <v>100</v>
      </c>
    </row>
    <row r="14" spans="1:15">
      <c r="A14" s="3" t="s">
        <v>171</v>
      </c>
      <c r="B14" t="s">
        <v>172</v>
      </c>
      <c r="C14" t="s">
        <v>173</v>
      </c>
      <c r="D14" t="s">
        <v>174</v>
      </c>
      <c r="E14" t="s">
        <v>175</v>
      </c>
      <c r="F14" t="s">
        <v>176</v>
      </c>
      <c r="G14" t="s">
        <v>177</v>
      </c>
      <c r="H14" t="s">
        <v>178</v>
      </c>
      <c r="I14" t="s">
        <v>179</v>
      </c>
      <c r="J14" t="s">
        <v>180</v>
      </c>
      <c r="K14" t="s">
        <v>77</v>
      </c>
      <c r="L14" t="s">
        <v>181</v>
      </c>
      <c r="M14" t="s">
        <v>182</v>
      </c>
      <c r="N14" s="6">
        <v>70</v>
      </c>
      <c r="O14" s="6">
        <v>70</v>
      </c>
    </row>
    <row r="15" spans="1:15">
      <c r="A15" s="3" t="s">
        <v>183</v>
      </c>
      <c r="B15" t="s">
        <v>184</v>
      </c>
      <c r="C15" t="s">
        <v>185</v>
      </c>
      <c r="D15" t="s">
        <v>186</v>
      </c>
      <c r="E15" t="s">
        <v>187</v>
      </c>
      <c r="F15" t="s">
        <v>188</v>
      </c>
      <c r="G15" t="s">
        <v>189</v>
      </c>
      <c r="H15" t="s">
        <v>190</v>
      </c>
      <c r="I15" t="s">
        <v>191</v>
      </c>
      <c r="J15" t="s">
        <v>192</v>
      </c>
      <c r="K15" t="s">
        <v>193</v>
      </c>
      <c r="L15" t="s">
        <v>194</v>
      </c>
      <c r="M15" t="s">
        <v>195</v>
      </c>
      <c r="N15" s="6">
        <v>70</v>
      </c>
      <c r="O15" s="6">
        <v>70</v>
      </c>
    </row>
    <row r="16" spans="1:15">
      <c r="A16" s="3" t="s">
        <v>196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H16" t="s">
        <v>100</v>
      </c>
      <c r="I16" t="s">
        <v>203</v>
      </c>
      <c r="J16" t="s">
        <v>204</v>
      </c>
      <c r="K16" t="s">
        <v>205</v>
      </c>
      <c r="L16" t="s">
        <v>206</v>
      </c>
      <c r="M16" t="s">
        <v>207</v>
      </c>
      <c r="N16" s="6">
        <v>100</v>
      </c>
      <c r="O16" s="6">
        <v>100</v>
      </c>
    </row>
    <row r="17" spans="1:15">
      <c r="A17" s="3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213</v>
      </c>
      <c r="G17" t="s">
        <v>214</v>
      </c>
      <c r="H17" t="s">
        <v>215</v>
      </c>
      <c r="I17" t="s">
        <v>216</v>
      </c>
      <c r="J17" t="s">
        <v>217</v>
      </c>
      <c r="K17" t="s">
        <v>218</v>
      </c>
      <c r="L17" t="s">
        <v>219</v>
      </c>
      <c r="M17" t="s">
        <v>182</v>
      </c>
      <c r="N17" s="6">
        <v>70</v>
      </c>
      <c r="O17" s="6">
        <v>70</v>
      </c>
    </row>
    <row r="18" spans="1:15">
      <c r="A18" s="3" t="s">
        <v>220</v>
      </c>
      <c r="B18" t="s">
        <v>221</v>
      </c>
      <c r="C18" t="s">
        <v>222</v>
      </c>
      <c r="D18" t="s">
        <v>223</v>
      </c>
      <c r="E18" t="s">
        <v>224</v>
      </c>
      <c r="F18" t="s">
        <v>225</v>
      </c>
      <c r="G18" t="s">
        <v>226</v>
      </c>
      <c r="H18" t="s">
        <v>22</v>
      </c>
      <c r="I18" t="s">
        <v>227</v>
      </c>
      <c r="J18" t="s">
        <v>228</v>
      </c>
      <c r="K18" t="s">
        <v>77</v>
      </c>
      <c r="L18" t="s">
        <v>26</v>
      </c>
      <c r="M18" t="s">
        <v>229</v>
      </c>
      <c r="N18" s="6">
        <v>100</v>
      </c>
      <c r="O18" s="6">
        <v>100</v>
      </c>
    </row>
    <row r="19" spans="1:15">
      <c r="A19" s="3" t="s">
        <v>230</v>
      </c>
      <c r="B19" t="s">
        <v>231</v>
      </c>
      <c r="C19" t="s">
        <v>232</v>
      </c>
      <c r="D19" t="s">
        <v>233</v>
      </c>
      <c r="E19" t="s">
        <v>234</v>
      </c>
      <c r="F19" t="s">
        <v>235</v>
      </c>
      <c r="G19" t="s">
        <v>236</v>
      </c>
      <c r="H19" t="s">
        <v>237</v>
      </c>
      <c r="I19" t="s">
        <v>166</v>
      </c>
      <c r="J19" t="s">
        <v>238</v>
      </c>
      <c r="K19" t="s">
        <v>239</v>
      </c>
      <c r="L19" t="s">
        <v>240</v>
      </c>
      <c r="M19" t="s">
        <v>241</v>
      </c>
      <c r="N19" s="6">
        <v>75</v>
      </c>
      <c r="O19" s="6">
        <v>75</v>
      </c>
    </row>
    <row r="20" spans="1:15">
      <c r="A20" s="3" t="s">
        <v>242</v>
      </c>
      <c r="B20" t="s">
        <v>243</v>
      </c>
      <c r="C20" t="s">
        <v>244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 t="s">
        <v>250</v>
      </c>
      <c r="J20" t="s">
        <v>251</v>
      </c>
      <c r="K20" t="s">
        <v>252</v>
      </c>
      <c r="L20" t="s">
        <v>253</v>
      </c>
      <c r="M20" t="s">
        <v>254</v>
      </c>
      <c r="N20" s="6">
        <v>70</v>
      </c>
      <c r="O20" s="6">
        <v>70</v>
      </c>
    </row>
    <row r="21" spans="1:15">
      <c r="A21" s="3" t="s">
        <v>255</v>
      </c>
      <c r="B21" t="s">
        <v>256</v>
      </c>
      <c r="C21" t="s">
        <v>257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 t="s">
        <v>263</v>
      </c>
      <c r="J21" t="s">
        <v>264</v>
      </c>
      <c r="K21" t="s">
        <v>265</v>
      </c>
      <c r="L21" t="s">
        <v>266</v>
      </c>
      <c r="M21" t="s">
        <v>267</v>
      </c>
      <c r="N21" s="6">
        <v>70</v>
      </c>
      <c r="O21" s="6">
        <v>70</v>
      </c>
    </row>
    <row r="22" spans="1:15">
      <c r="A22" s="3" t="s">
        <v>268</v>
      </c>
      <c r="B22" t="s">
        <v>68</v>
      </c>
      <c r="C22" t="s">
        <v>69</v>
      </c>
      <c r="D22" t="s">
        <v>269</v>
      </c>
      <c r="E22" t="s">
        <v>71</v>
      </c>
      <c r="F22" t="s">
        <v>72</v>
      </c>
      <c r="G22" t="s">
        <v>73</v>
      </c>
      <c r="H22" t="s">
        <v>74</v>
      </c>
      <c r="I22" t="s">
        <v>75</v>
      </c>
      <c r="J22" t="s">
        <v>76</v>
      </c>
      <c r="K22" t="s">
        <v>270</v>
      </c>
      <c r="L22" t="s">
        <v>78</v>
      </c>
      <c r="M22" t="s">
        <v>79</v>
      </c>
      <c r="N22" s="6">
        <v>70</v>
      </c>
      <c r="O22" s="6">
        <v>70</v>
      </c>
    </row>
    <row r="23" spans="1:15">
      <c r="A23" s="3" t="s">
        <v>271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s="6">
        <v>75</v>
      </c>
      <c r="O23" s="6">
        <v>75</v>
      </c>
    </row>
    <row r="24" spans="1:15">
      <c r="A24" s="3" t="s">
        <v>272</v>
      </c>
      <c r="B24" t="s">
        <v>273</v>
      </c>
      <c r="C24" t="s">
        <v>274</v>
      </c>
      <c r="D24" t="s">
        <v>275</v>
      </c>
      <c r="E24" t="s">
        <v>276</v>
      </c>
      <c r="F24" t="s">
        <v>277</v>
      </c>
      <c r="G24" t="s">
        <v>278</v>
      </c>
      <c r="H24" t="s">
        <v>279</v>
      </c>
      <c r="I24" t="s">
        <v>280</v>
      </c>
      <c r="J24" t="s">
        <v>281</v>
      </c>
      <c r="K24" t="s">
        <v>282</v>
      </c>
      <c r="L24" t="s">
        <v>283</v>
      </c>
      <c r="M24" t="s">
        <v>284</v>
      </c>
      <c r="N24" s="6">
        <v>100</v>
      </c>
      <c r="O24" s="6">
        <v>100</v>
      </c>
    </row>
    <row r="25" spans="1:15" ht="14.45">
      <c r="A25" s="1"/>
      <c r="B25" s="1"/>
      <c r="C25" s="1"/>
      <c r="D25" s="1"/>
    </row>
    <row r="26" spans="1:15" ht="14.45">
      <c r="A26" s="1"/>
      <c r="B26" s="1"/>
      <c r="C26" s="1"/>
      <c r="D26" s="1"/>
    </row>
    <row r="27" spans="1:15">
      <c r="A27" s="3" t="s">
        <v>285</v>
      </c>
      <c r="B27" s="3" t="s">
        <v>286</v>
      </c>
      <c r="C27" s="3" t="s">
        <v>287</v>
      </c>
      <c r="D27" s="3" t="s">
        <v>300</v>
      </c>
    </row>
    <row r="28" spans="1:15">
      <c r="A28" s="3" t="s">
        <v>323</v>
      </c>
      <c r="B28" s="4" t="s">
        <v>324</v>
      </c>
      <c r="C28" t="s">
        <v>325</v>
      </c>
    </row>
    <row r="29" spans="1:15">
      <c r="A29" s="3" t="s">
        <v>326</v>
      </c>
      <c r="B29" s="4" t="s">
        <v>327</v>
      </c>
      <c r="C29" t="s">
        <v>328</v>
      </c>
    </row>
    <row r="30" spans="1:15" ht="14.45">
      <c r="A30" s="1"/>
      <c r="B30" s="1"/>
      <c r="C30" s="1"/>
      <c r="D30" s="1"/>
    </row>
    <row r="31" spans="1:15">
      <c r="A31" s="1"/>
      <c r="B31" s="1"/>
      <c r="C31" s="1"/>
      <c r="D31" s="1"/>
    </row>
    <row r="32" spans="1:15" ht="14.45" customHeight="1">
      <c r="A32" s="3" t="s">
        <v>294</v>
      </c>
      <c r="B32" s="4" t="s">
        <v>295</v>
      </c>
      <c r="C32" t="s">
        <v>296</v>
      </c>
    </row>
    <row r="33" spans="1:4">
      <c r="A33" s="8" t="s">
        <v>297</v>
      </c>
      <c r="B33" s="27" t="s">
        <v>329</v>
      </c>
      <c r="C33" s="26"/>
      <c r="D33" s="26"/>
    </row>
    <row r="34" spans="1:4">
      <c r="B34" s="3" t="s">
        <v>330</v>
      </c>
    </row>
  </sheetData>
  <mergeCells count="1">
    <mergeCell ref="B33:D33"/>
  </mergeCells>
  <hyperlinks>
    <hyperlink ref="B32" r:id="rId1" xr:uid="{5CFBE7E5-E5BF-45A5-B80A-CC0B7809D4C3}"/>
    <hyperlink ref="B28" r:id="rId2" xr:uid="{C939A8C0-B0DD-4351-940A-E6FA6210D226}"/>
    <hyperlink ref="B29" r:id="rId3" xr:uid="{C5047D63-2521-4686-9D1B-556A2FD87DB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584B-71FD-440C-9C68-5F3BED937C66}">
  <dimension ref="A1:G33"/>
  <sheetViews>
    <sheetView workbookViewId="0">
      <pane xSplit="1" topLeftCell="B5" activePane="topRight" state="frozen"/>
      <selection pane="topRight" activeCell="C20" sqref="C20"/>
    </sheetView>
  </sheetViews>
  <sheetFormatPr defaultRowHeight="15"/>
  <cols>
    <col min="1" max="1" width="24.28515625" bestFit="1" customWidth="1"/>
    <col min="2" max="2" width="73.28515625" bestFit="1" customWidth="1"/>
    <col min="3" max="3" width="51.42578125" bestFit="1" customWidth="1"/>
    <col min="4" max="4" width="36.5703125" bestFit="1" customWidth="1"/>
    <col min="5" max="5" width="31.28515625" bestFit="1" customWidth="1"/>
    <col min="6" max="6" width="34.85546875" bestFit="1" customWidth="1"/>
    <col min="7" max="7" width="36.5703125" bestFit="1" customWidth="1"/>
  </cols>
  <sheetData>
    <row r="1" spans="1:7" ht="18.75">
      <c r="A1" s="2" t="s">
        <v>0</v>
      </c>
      <c r="B1" s="2" t="s">
        <v>313</v>
      </c>
      <c r="C1" s="2" t="s">
        <v>331</v>
      </c>
      <c r="D1" s="16" t="s">
        <v>314</v>
      </c>
      <c r="E1" s="28" t="s">
        <v>14</v>
      </c>
      <c r="F1" s="2" t="s">
        <v>332</v>
      </c>
      <c r="G1" s="16" t="s">
        <v>333</v>
      </c>
    </row>
    <row r="2" spans="1:7">
      <c r="A2" s="3" t="s">
        <v>15</v>
      </c>
      <c r="B2" s="30">
        <v>50</v>
      </c>
      <c r="C2" s="13">
        <v>38</v>
      </c>
      <c r="D2" s="30">
        <v>42.22</v>
      </c>
      <c r="E2" s="31">
        <f>SUM(B2,D2)</f>
        <v>92.22</v>
      </c>
      <c r="F2" s="14"/>
      <c r="G2" s="13"/>
    </row>
    <row r="3" spans="1:7">
      <c r="A3" s="3" t="s">
        <v>28</v>
      </c>
      <c r="B3" s="30">
        <v>48</v>
      </c>
      <c r="C3" s="13">
        <v>13</v>
      </c>
      <c r="D3" s="30">
        <v>20.73</v>
      </c>
      <c r="E3" s="31">
        <f>SUM(B3,D3)</f>
        <v>68.73</v>
      </c>
      <c r="F3" s="14">
        <v>17</v>
      </c>
      <c r="G3" s="15">
        <v>0.20730000000000001</v>
      </c>
    </row>
    <row r="4" spans="1:7">
      <c r="A4" s="3" t="s">
        <v>41</v>
      </c>
      <c r="B4" s="30">
        <v>48</v>
      </c>
      <c r="C4" s="13">
        <v>30.5</v>
      </c>
      <c r="D4" s="30">
        <v>33.89</v>
      </c>
      <c r="E4" s="31">
        <f>SUM(B4,D4)</f>
        <v>81.89</v>
      </c>
      <c r="F4" s="14"/>
      <c r="G4" s="13"/>
    </row>
    <row r="5" spans="1:7">
      <c r="A5" s="3" t="s">
        <v>54</v>
      </c>
      <c r="B5" s="30">
        <v>50</v>
      </c>
      <c r="C5" s="13">
        <v>5.5</v>
      </c>
      <c r="D5" s="30">
        <v>25.5</v>
      </c>
      <c r="E5" s="31">
        <f>SUM(B5,D5)</f>
        <v>75.5</v>
      </c>
      <c r="F5" s="14"/>
      <c r="G5" s="12">
        <v>0.255</v>
      </c>
    </row>
    <row r="6" spans="1:7">
      <c r="A6" s="3" t="s">
        <v>67</v>
      </c>
      <c r="B6" s="30">
        <v>50</v>
      </c>
      <c r="C6" s="13">
        <v>11</v>
      </c>
      <c r="D6" s="30">
        <v>31.71</v>
      </c>
      <c r="E6" s="31">
        <f>SUM(B6,D6)</f>
        <v>81.710000000000008</v>
      </c>
      <c r="F6" s="14">
        <v>26</v>
      </c>
      <c r="G6" s="15">
        <v>0.31709999999999999</v>
      </c>
    </row>
    <row r="7" spans="1:7">
      <c r="A7" s="3" t="s">
        <v>80</v>
      </c>
      <c r="B7" s="30">
        <v>45</v>
      </c>
      <c r="C7" s="13">
        <v>26</v>
      </c>
      <c r="D7" s="30">
        <v>28.89</v>
      </c>
      <c r="E7" s="31">
        <f>SUM(B7,D7)</f>
        <v>73.89</v>
      </c>
      <c r="F7" s="14">
        <v>18</v>
      </c>
      <c r="G7" s="15">
        <v>0.2195</v>
      </c>
    </row>
    <row r="8" spans="1:7">
      <c r="A8" s="3" t="s">
        <v>93</v>
      </c>
      <c r="B8" s="30">
        <v>45</v>
      </c>
      <c r="C8" s="13">
        <v>24.5</v>
      </c>
      <c r="D8" s="30">
        <v>27.22</v>
      </c>
      <c r="E8" s="31">
        <f>SUM(B8,D8)</f>
        <v>72.22</v>
      </c>
      <c r="F8" s="14">
        <v>21</v>
      </c>
      <c r="G8" s="15">
        <v>0.25609999999999999</v>
      </c>
    </row>
    <row r="9" spans="1:7">
      <c r="A9" s="3" t="s">
        <v>106</v>
      </c>
      <c r="B9" s="30">
        <v>40</v>
      </c>
      <c r="C9" s="13">
        <v>30.5</v>
      </c>
      <c r="D9" s="30">
        <v>33.89</v>
      </c>
      <c r="E9" s="31">
        <f>SUM(B9,D9)</f>
        <v>73.89</v>
      </c>
      <c r="F9" s="14"/>
      <c r="G9" s="13"/>
    </row>
    <row r="10" spans="1:7">
      <c r="A10" s="3" t="s">
        <v>119</v>
      </c>
      <c r="B10" s="30">
        <v>50</v>
      </c>
      <c r="C10" s="13">
        <v>20</v>
      </c>
      <c r="D10" s="30">
        <v>29.270000000000003</v>
      </c>
      <c r="E10" s="31">
        <f>SUM(B10,D10)</f>
        <v>79.27000000000001</v>
      </c>
      <c r="F10" s="14">
        <v>24</v>
      </c>
      <c r="G10" s="15">
        <v>0.29270000000000002</v>
      </c>
    </row>
    <row r="11" spans="1:7">
      <c r="A11" s="3" t="s">
        <v>132</v>
      </c>
      <c r="B11" s="30">
        <v>50</v>
      </c>
      <c r="C11" s="13">
        <v>12.5</v>
      </c>
      <c r="D11" s="30">
        <v>24.39</v>
      </c>
      <c r="E11" s="31">
        <f>SUM(B11,D11)</f>
        <v>74.39</v>
      </c>
      <c r="F11" s="14">
        <v>20</v>
      </c>
      <c r="G11" s="15">
        <v>0.24390000000000001</v>
      </c>
    </row>
    <row r="12" spans="1:7">
      <c r="A12" s="3" t="s">
        <v>145</v>
      </c>
      <c r="B12" s="30">
        <v>38</v>
      </c>
      <c r="C12" s="13">
        <v>7.5</v>
      </c>
      <c r="D12" s="30">
        <v>8.33</v>
      </c>
      <c r="E12" s="31">
        <f>SUM(B12,D12)</f>
        <v>46.33</v>
      </c>
      <c r="F12" s="14"/>
      <c r="G12" s="13"/>
    </row>
    <row r="13" spans="1:7">
      <c r="A13" s="3" t="s">
        <v>158</v>
      </c>
      <c r="B13" s="30">
        <v>45</v>
      </c>
      <c r="C13" s="13">
        <v>12</v>
      </c>
      <c r="D13" s="30">
        <v>40.239999999999995</v>
      </c>
      <c r="E13" s="31">
        <f>SUM(B13,D13)</f>
        <v>85.24</v>
      </c>
      <c r="F13" s="14">
        <v>33</v>
      </c>
      <c r="G13" s="15">
        <v>0.40239999999999998</v>
      </c>
    </row>
    <row r="14" spans="1:7">
      <c r="A14" s="3" t="s">
        <v>171</v>
      </c>
      <c r="B14" s="30">
        <v>45</v>
      </c>
      <c r="C14" s="13">
        <v>35</v>
      </c>
      <c r="D14" s="30">
        <v>38.89</v>
      </c>
      <c r="E14" s="31">
        <f>SUM(B14,D14)</f>
        <v>83.89</v>
      </c>
      <c r="F14" s="14"/>
      <c r="G14" s="13"/>
    </row>
    <row r="15" spans="1:7">
      <c r="A15" s="3" t="s">
        <v>183</v>
      </c>
      <c r="B15" s="30">
        <v>45</v>
      </c>
      <c r="C15" s="13">
        <v>23</v>
      </c>
      <c r="D15" s="30">
        <v>25.56</v>
      </c>
      <c r="E15" s="31">
        <f>SUM(B15,D15)</f>
        <v>70.56</v>
      </c>
      <c r="F15" s="14"/>
      <c r="G15" s="13"/>
    </row>
    <row r="16" spans="1:7">
      <c r="A16" s="3" t="s">
        <v>196</v>
      </c>
      <c r="B16" s="30">
        <v>38</v>
      </c>
      <c r="C16" s="13">
        <v>28</v>
      </c>
      <c r="D16" s="30">
        <v>31.11</v>
      </c>
      <c r="E16" s="31">
        <f>SUM(B16,D16)</f>
        <v>69.11</v>
      </c>
      <c r="F16" s="14">
        <v>5</v>
      </c>
      <c r="G16" s="13">
        <v>6.09</v>
      </c>
    </row>
    <row r="17" spans="1:7">
      <c r="A17" s="3" t="s">
        <v>208</v>
      </c>
      <c r="B17" s="30">
        <v>45</v>
      </c>
      <c r="C17" s="13">
        <v>40</v>
      </c>
      <c r="D17" s="30">
        <v>44.440000000000005</v>
      </c>
      <c r="E17" s="31">
        <f>SUM(B17,D17)</f>
        <v>89.44</v>
      </c>
      <c r="F17" s="14"/>
      <c r="G17" s="13"/>
    </row>
    <row r="18" spans="1:7">
      <c r="A18" s="3" t="s">
        <v>220</v>
      </c>
      <c r="B18" s="30">
        <v>45</v>
      </c>
      <c r="C18" s="13">
        <v>11.5</v>
      </c>
      <c r="D18" s="30">
        <v>22.5</v>
      </c>
      <c r="E18" s="31">
        <f>SUM(B18,D18)</f>
        <v>67.5</v>
      </c>
      <c r="F18" s="14">
        <v>22.5</v>
      </c>
      <c r="G18" s="15">
        <v>0.27439999999999998</v>
      </c>
    </row>
    <row r="19" spans="1:7">
      <c r="A19" s="3" t="s">
        <v>230</v>
      </c>
      <c r="B19" s="30">
        <v>50</v>
      </c>
      <c r="C19" s="13">
        <v>25.5</v>
      </c>
      <c r="D19" s="30">
        <v>28.33</v>
      </c>
      <c r="E19" s="31">
        <f>SUM(B19,D19)</f>
        <v>78.33</v>
      </c>
      <c r="F19" s="14"/>
      <c r="G19" s="13"/>
    </row>
    <row r="20" spans="1:7">
      <c r="A20" s="3" t="s">
        <v>242</v>
      </c>
      <c r="B20" s="30">
        <v>48</v>
      </c>
      <c r="C20" s="13">
        <v>23.5</v>
      </c>
      <c r="D20" s="30">
        <v>26.11</v>
      </c>
      <c r="E20" s="31">
        <f>SUM(B20,D20)</f>
        <v>74.11</v>
      </c>
      <c r="F20" s="14"/>
      <c r="G20" s="13"/>
    </row>
    <row r="21" spans="1:7">
      <c r="A21" s="3" t="s">
        <v>255</v>
      </c>
      <c r="B21" s="30">
        <v>50</v>
      </c>
      <c r="C21" s="13">
        <v>11</v>
      </c>
      <c r="D21" s="30">
        <v>32.32</v>
      </c>
      <c r="E21" s="31">
        <f>SUM(B21,D21)</f>
        <v>82.32</v>
      </c>
      <c r="F21" s="14">
        <v>26.5</v>
      </c>
      <c r="G21" s="15">
        <v>0.32319999999999999</v>
      </c>
    </row>
    <row r="22" spans="1:7">
      <c r="A22" s="3" t="s">
        <v>268</v>
      </c>
      <c r="B22" s="30">
        <v>38</v>
      </c>
      <c r="C22" s="13">
        <v>28.5</v>
      </c>
      <c r="D22" s="30">
        <v>31.669999999999998</v>
      </c>
      <c r="E22" s="31">
        <f>SUM(B22,D22)</f>
        <v>69.67</v>
      </c>
      <c r="F22" s="14"/>
      <c r="G22" s="13"/>
    </row>
    <row r="23" spans="1:7">
      <c r="A23" s="3" t="s">
        <v>271</v>
      </c>
      <c r="B23" s="30">
        <v>45</v>
      </c>
      <c r="C23" s="13">
        <v>23</v>
      </c>
      <c r="D23" s="30">
        <v>25.56</v>
      </c>
      <c r="E23" s="31">
        <f>SUM(B23,D23)</f>
        <v>70.56</v>
      </c>
      <c r="F23" s="14">
        <v>15.5</v>
      </c>
      <c r="G23" s="15">
        <v>0.189</v>
      </c>
    </row>
    <row r="24" spans="1:7">
      <c r="A24" s="3" t="s">
        <v>272</v>
      </c>
      <c r="B24" s="30">
        <v>48</v>
      </c>
      <c r="C24" s="13">
        <v>38</v>
      </c>
      <c r="D24" s="30">
        <v>42.22</v>
      </c>
      <c r="E24" s="31">
        <f>SUM(B24,D24)</f>
        <v>90.22</v>
      </c>
      <c r="F24" s="14"/>
      <c r="G24" s="13"/>
    </row>
    <row r="25" spans="1:7">
      <c r="A25" s="1"/>
      <c r="B25" s="1"/>
      <c r="C25" s="6">
        <f>AVERAGE(C2:C24)</f>
        <v>22.521739130434781</v>
      </c>
      <c r="D25" s="6">
        <f>AVERAGE(D2:D24)</f>
        <v>30.216956521739132</v>
      </c>
    </row>
    <row r="26" spans="1:7">
      <c r="A26" s="3" t="s">
        <v>285</v>
      </c>
      <c r="B26" s="3" t="s">
        <v>286</v>
      </c>
      <c r="C26" s="3" t="s">
        <v>287</v>
      </c>
      <c r="D26" s="3" t="s">
        <v>300</v>
      </c>
    </row>
    <row r="27" spans="1:7">
      <c r="A27" s="3" t="s">
        <v>334</v>
      </c>
      <c r="B27" s="4" t="s">
        <v>335</v>
      </c>
      <c r="C27" t="s">
        <v>336</v>
      </c>
    </row>
    <row r="28" spans="1:7">
      <c r="A28" s="3" t="s">
        <v>337</v>
      </c>
      <c r="B28" s="4" t="s">
        <v>299</v>
      </c>
      <c r="C28" t="s">
        <v>338</v>
      </c>
      <c r="D28" t="s">
        <v>339</v>
      </c>
    </row>
    <row r="29" spans="1:7">
      <c r="A29" s="1"/>
      <c r="B29" s="1"/>
      <c r="C29" s="1"/>
      <c r="D29" s="1"/>
    </row>
    <row r="30" spans="1:7">
      <c r="A30" s="1"/>
      <c r="B30" s="1"/>
      <c r="C30" s="1"/>
      <c r="D30" s="1"/>
    </row>
    <row r="31" spans="1:7">
      <c r="A31" s="3" t="s">
        <v>294</v>
      </c>
      <c r="B31" s="4" t="s">
        <v>295</v>
      </c>
      <c r="C31" t="s">
        <v>296</v>
      </c>
    </row>
    <row r="32" spans="1:7">
      <c r="A32" s="8" t="s">
        <v>297</v>
      </c>
      <c r="B32" s="23" t="s">
        <v>329</v>
      </c>
      <c r="C32" s="13"/>
      <c r="D32" s="13"/>
    </row>
    <row r="33" spans="2:2">
      <c r="B33" s="3" t="s">
        <v>330</v>
      </c>
    </row>
  </sheetData>
  <hyperlinks>
    <hyperlink ref="B31" r:id="rId1" xr:uid="{46A4BD75-FE1B-45E9-A7D4-A2FA7FF0E232}"/>
    <hyperlink ref="B27" r:id="rId2" xr:uid="{A64BD24C-4526-4E46-9ABB-0CF619FE1BA7}"/>
  </hyperlinks>
  <pageMargins left="0.7" right="0.7" top="0.75" bottom="0.75" header="0.3" footer="0.3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D7147-225E-44D0-A869-96828C996078}">
  <dimension ref="A1:F33"/>
  <sheetViews>
    <sheetView workbookViewId="0">
      <selection activeCell="E7" sqref="E7"/>
    </sheetView>
  </sheetViews>
  <sheetFormatPr defaultRowHeight="15"/>
  <cols>
    <col min="1" max="1" width="24.28515625" bestFit="1" customWidth="1"/>
    <col min="2" max="2" width="65" bestFit="1" customWidth="1"/>
    <col min="3" max="3" width="36.5703125" bestFit="1" customWidth="1"/>
    <col min="4" max="4" width="38.7109375" bestFit="1" customWidth="1"/>
    <col min="5" max="5" width="31.28515625" bestFit="1" customWidth="1"/>
    <col min="6" max="6" width="34.85546875" bestFit="1" customWidth="1"/>
    <col min="7" max="7" width="36.5703125" bestFit="1" customWidth="1"/>
  </cols>
  <sheetData>
    <row r="1" spans="1:6" ht="36">
      <c r="A1" s="2" t="s">
        <v>0</v>
      </c>
      <c r="B1" s="16" t="s">
        <v>340</v>
      </c>
      <c r="C1" s="16" t="s">
        <v>341</v>
      </c>
      <c r="D1" s="16" t="s">
        <v>342</v>
      </c>
      <c r="E1" s="5" t="s">
        <v>14</v>
      </c>
      <c r="F1" s="2" t="s">
        <v>343</v>
      </c>
    </row>
    <row r="2" spans="1:6">
      <c r="A2" s="3" t="s">
        <v>15</v>
      </c>
      <c r="B2" s="29">
        <v>30</v>
      </c>
      <c r="C2" s="21">
        <v>0.97</v>
      </c>
      <c r="D2" s="30">
        <v>67.900000000000006</v>
      </c>
      <c r="E2" s="31">
        <f>SUM(B2,D2)</f>
        <v>97.9</v>
      </c>
    </row>
    <row r="3" spans="1:6">
      <c r="A3" s="3" t="s">
        <v>28</v>
      </c>
      <c r="B3" s="29">
        <v>30</v>
      </c>
      <c r="C3" s="21">
        <v>0.63</v>
      </c>
      <c r="D3" s="30">
        <v>44.1</v>
      </c>
      <c r="E3" s="31">
        <f>SUM(B3,D3)</f>
        <v>74.099999999999994</v>
      </c>
    </row>
    <row r="4" spans="1:6">
      <c r="A4" s="3" t="s">
        <v>41</v>
      </c>
      <c r="B4" s="29">
        <v>30</v>
      </c>
      <c r="C4" s="21">
        <v>0.9</v>
      </c>
      <c r="D4" s="30">
        <v>63</v>
      </c>
      <c r="E4" s="31">
        <f>SUM(B4,D4)</f>
        <v>93</v>
      </c>
    </row>
    <row r="5" spans="1:6">
      <c r="A5" s="3" t="s">
        <v>54</v>
      </c>
      <c r="B5" s="29">
        <v>30</v>
      </c>
      <c r="C5" s="21">
        <v>0.87</v>
      </c>
      <c r="D5" s="30">
        <v>60.9</v>
      </c>
      <c r="E5" s="31">
        <f>SUM(B5,D5)</f>
        <v>90.9</v>
      </c>
    </row>
    <row r="6" spans="1:6">
      <c r="A6" s="3" t="s">
        <v>67</v>
      </c>
      <c r="B6" s="29">
        <v>15</v>
      </c>
      <c r="C6" s="21">
        <v>0.9</v>
      </c>
      <c r="D6" s="30">
        <v>63</v>
      </c>
      <c r="E6" s="31">
        <f>SUM(B6,D6)</f>
        <v>78</v>
      </c>
    </row>
    <row r="7" spans="1:6">
      <c r="A7" s="3" t="s">
        <v>80</v>
      </c>
      <c r="B7" s="29">
        <v>23</v>
      </c>
      <c r="C7" s="21">
        <v>0.87</v>
      </c>
      <c r="D7" s="30">
        <v>60.9</v>
      </c>
      <c r="E7" s="31">
        <f>SUM(B7,D7)</f>
        <v>83.9</v>
      </c>
    </row>
    <row r="8" spans="1:6">
      <c r="A8" s="3" t="s">
        <v>93</v>
      </c>
      <c r="B8" s="29">
        <v>30</v>
      </c>
      <c r="C8" s="21">
        <v>0.8</v>
      </c>
      <c r="D8" s="30">
        <v>56.000000000000007</v>
      </c>
      <c r="E8" s="31">
        <f>SUM(B8,D8)</f>
        <v>86</v>
      </c>
    </row>
    <row r="9" spans="1:6">
      <c r="A9" s="3" t="s">
        <v>106</v>
      </c>
      <c r="B9" s="29">
        <v>10</v>
      </c>
      <c r="C9" s="21">
        <v>0.83</v>
      </c>
      <c r="D9" s="30">
        <v>58.099999999999994</v>
      </c>
      <c r="E9" s="31">
        <f>SUM(B9,D9)</f>
        <v>68.099999999999994</v>
      </c>
    </row>
    <row r="10" spans="1:6">
      <c r="A10" s="3" t="s">
        <v>119</v>
      </c>
      <c r="B10" s="29">
        <v>30</v>
      </c>
      <c r="C10" s="21">
        <v>0.83</v>
      </c>
      <c r="D10" s="30">
        <v>58.099999999999994</v>
      </c>
      <c r="E10" s="31">
        <f>SUM(B10,D10)</f>
        <v>88.1</v>
      </c>
    </row>
    <row r="11" spans="1:6">
      <c r="A11" s="3" t="s">
        <v>132</v>
      </c>
      <c r="B11" s="29">
        <v>15</v>
      </c>
      <c r="C11" s="21">
        <v>0.8</v>
      </c>
      <c r="D11" s="30">
        <v>56.000000000000007</v>
      </c>
      <c r="E11" s="31">
        <f>SUM(B11,D11)</f>
        <v>71</v>
      </c>
    </row>
    <row r="12" spans="1:6">
      <c r="A12" s="3" t="s">
        <v>145</v>
      </c>
      <c r="B12" s="29">
        <v>0</v>
      </c>
      <c r="C12" s="21">
        <v>0.77</v>
      </c>
      <c r="D12" s="30">
        <v>53.900000000000006</v>
      </c>
      <c r="E12" s="31">
        <f>SUM(B12,D12)</f>
        <v>53.900000000000006</v>
      </c>
    </row>
    <row r="13" spans="1:6">
      <c r="A13" s="3" t="s">
        <v>158</v>
      </c>
      <c r="B13" s="29">
        <v>15</v>
      </c>
      <c r="C13" s="21">
        <v>0.83</v>
      </c>
      <c r="D13" s="30">
        <v>58.099999999999994</v>
      </c>
      <c r="E13" s="31">
        <f>SUM(B13,D13)</f>
        <v>73.099999999999994</v>
      </c>
    </row>
    <row r="14" spans="1:6">
      <c r="A14" s="3" t="s">
        <v>171</v>
      </c>
      <c r="B14" s="29">
        <v>30</v>
      </c>
      <c r="C14" s="21">
        <v>0.87</v>
      </c>
      <c r="D14" s="30">
        <v>60.9</v>
      </c>
      <c r="E14" s="31">
        <f>SUM(B14,D14)</f>
        <v>90.9</v>
      </c>
    </row>
    <row r="15" spans="1:6">
      <c r="A15" s="3" t="s">
        <v>183</v>
      </c>
      <c r="B15" s="29">
        <v>30</v>
      </c>
      <c r="C15" s="21">
        <v>0.6</v>
      </c>
      <c r="D15" s="30">
        <v>42</v>
      </c>
      <c r="E15" s="31">
        <f>SUM(B15,D15)</f>
        <v>72</v>
      </c>
    </row>
    <row r="16" spans="1:6">
      <c r="A16" s="3" t="s">
        <v>196</v>
      </c>
      <c r="B16" s="29">
        <v>30</v>
      </c>
      <c r="C16" s="21">
        <v>0.77</v>
      </c>
      <c r="D16" s="30">
        <v>53.900000000000006</v>
      </c>
      <c r="E16" s="31">
        <f>SUM(B16,D16)</f>
        <v>83.9</v>
      </c>
    </row>
    <row r="17" spans="1:6">
      <c r="A17" s="3" t="s">
        <v>208</v>
      </c>
      <c r="B17" s="29">
        <v>0</v>
      </c>
      <c r="C17" s="21">
        <v>0.97</v>
      </c>
      <c r="D17" s="30">
        <v>67.900000000000006</v>
      </c>
      <c r="E17" s="31">
        <f>SUM(B17,D17)</f>
        <v>67.900000000000006</v>
      </c>
      <c r="F17" s="22" t="s">
        <v>344</v>
      </c>
    </row>
    <row r="18" spans="1:6">
      <c r="A18" s="3" t="s">
        <v>220</v>
      </c>
      <c r="B18" s="29">
        <v>0</v>
      </c>
      <c r="C18" s="21">
        <v>0.63</v>
      </c>
      <c r="D18" s="30">
        <v>44.1</v>
      </c>
      <c r="E18" s="31">
        <f>SUM(B18,D18)</f>
        <v>44.1</v>
      </c>
      <c r="F18" s="22" t="s">
        <v>344</v>
      </c>
    </row>
    <row r="19" spans="1:6">
      <c r="A19" s="3" t="s">
        <v>230</v>
      </c>
      <c r="B19" s="29">
        <v>0</v>
      </c>
      <c r="C19" s="13">
        <v>0</v>
      </c>
      <c r="D19" s="30">
        <v>0</v>
      </c>
      <c r="E19" s="31">
        <f>SUM(B19,D19)</f>
        <v>0</v>
      </c>
    </row>
    <row r="20" spans="1:6">
      <c r="A20" s="3" t="s">
        <v>242</v>
      </c>
      <c r="B20" s="29">
        <v>22</v>
      </c>
      <c r="C20" s="21">
        <v>0.63</v>
      </c>
      <c r="D20" s="30">
        <v>44.1</v>
      </c>
      <c r="E20" s="31">
        <f>SUM(B20,D20)</f>
        <v>66.099999999999994</v>
      </c>
    </row>
    <row r="21" spans="1:6">
      <c r="A21" s="3" t="s">
        <v>255</v>
      </c>
      <c r="B21" s="29">
        <v>30</v>
      </c>
      <c r="C21" s="21">
        <v>0.87</v>
      </c>
      <c r="D21" s="30">
        <v>60.9</v>
      </c>
      <c r="E21" s="31">
        <f>SUM(B21,D21)</f>
        <v>90.9</v>
      </c>
    </row>
    <row r="22" spans="1:6">
      <c r="A22" s="3" t="s">
        <v>268</v>
      </c>
      <c r="B22" s="29">
        <v>0</v>
      </c>
      <c r="C22" s="21">
        <v>0.5</v>
      </c>
      <c r="D22" s="30">
        <v>35</v>
      </c>
      <c r="E22" s="31">
        <f>SUM(B22,D22)</f>
        <v>35</v>
      </c>
    </row>
    <row r="23" spans="1:6">
      <c r="A23" s="3" t="s">
        <v>271</v>
      </c>
      <c r="B23" s="29">
        <v>0</v>
      </c>
      <c r="C23" s="21">
        <v>0.9</v>
      </c>
      <c r="D23" s="30">
        <v>63</v>
      </c>
      <c r="E23" s="31">
        <f>SUM(B23,D23)</f>
        <v>63</v>
      </c>
      <c r="F23" s="22" t="s">
        <v>344</v>
      </c>
    </row>
    <row r="24" spans="1:6">
      <c r="A24" s="3" t="s">
        <v>272</v>
      </c>
      <c r="B24" s="29">
        <v>30</v>
      </c>
      <c r="C24" s="21">
        <v>0.83</v>
      </c>
      <c r="D24" s="30">
        <v>58.099999999999994</v>
      </c>
      <c r="E24" s="31">
        <f>SUM(B24,D24)</f>
        <v>88.1</v>
      </c>
    </row>
    <row r="25" spans="1:6">
      <c r="A25" s="1"/>
      <c r="B25" s="1"/>
      <c r="C25" s="6"/>
      <c r="D25" s="12"/>
    </row>
    <row r="26" spans="1:6">
      <c r="A26" s="1"/>
      <c r="B26" s="1"/>
    </row>
    <row r="27" spans="1:6">
      <c r="A27" s="3" t="s">
        <v>285</v>
      </c>
      <c r="B27" s="3"/>
    </row>
    <row r="28" spans="1:6">
      <c r="A28" s="3" t="s">
        <v>345</v>
      </c>
      <c r="B28" s="3" t="s">
        <v>346</v>
      </c>
    </row>
    <row r="29" spans="1:6">
      <c r="A29" s="3" t="s">
        <v>347</v>
      </c>
      <c r="B29" s="3" t="s">
        <v>348</v>
      </c>
    </row>
    <row r="30" spans="1:6">
      <c r="A30" s="1"/>
      <c r="B30" s="1"/>
    </row>
    <row r="31" spans="1:6">
      <c r="A31" s="1"/>
      <c r="B31" s="1"/>
    </row>
    <row r="32" spans="1:6">
      <c r="A32" s="3" t="s">
        <v>294</v>
      </c>
      <c r="B32" s="3"/>
    </row>
    <row r="33" spans="1:2">
      <c r="A33" s="3" t="s">
        <v>297</v>
      </c>
      <c r="B33" s="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A89EC-DA8A-497B-9B3F-5DAD5D0A6F0E}">
  <dimension ref="A1:P26"/>
  <sheetViews>
    <sheetView workbookViewId="0">
      <selection activeCell="B11" sqref="B11"/>
    </sheetView>
  </sheetViews>
  <sheetFormatPr defaultRowHeight="15"/>
  <cols>
    <col min="1" max="1" width="26.7109375" customWidth="1"/>
    <col min="2" max="2" width="12.42578125" customWidth="1"/>
    <col min="3" max="3" width="11.85546875" customWidth="1"/>
    <col min="4" max="4" width="9.7109375" customWidth="1"/>
    <col min="6" max="6" width="13.5703125" bestFit="1" customWidth="1"/>
    <col min="7" max="7" width="10.28515625" bestFit="1" customWidth="1"/>
    <col min="8" max="8" width="19.28515625" customWidth="1"/>
    <col min="9" max="9" width="13.28515625" customWidth="1"/>
    <col min="10" max="10" width="14.85546875" customWidth="1"/>
  </cols>
  <sheetData>
    <row r="1" spans="1:16" ht="18.75">
      <c r="A1" s="2" t="s">
        <v>0</v>
      </c>
      <c r="B1" s="5" t="s">
        <v>349</v>
      </c>
      <c r="C1" s="5" t="s">
        <v>350</v>
      </c>
      <c r="D1" s="5" t="s">
        <v>351</v>
      </c>
      <c r="E1" s="5" t="s">
        <v>352</v>
      </c>
      <c r="F1" s="5" t="s">
        <v>353</v>
      </c>
      <c r="G1" s="5" t="s">
        <v>354</v>
      </c>
      <c r="H1" s="5" t="s">
        <v>355</v>
      </c>
      <c r="I1" s="5" t="s">
        <v>356</v>
      </c>
      <c r="J1" s="5" t="s">
        <v>357</v>
      </c>
      <c r="O1" s="3" t="s">
        <v>358</v>
      </c>
      <c r="P1" s="3" t="s">
        <v>357</v>
      </c>
    </row>
    <row r="2" spans="1:16">
      <c r="A2" s="3" t="s">
        <v>15</v>
      </c>
      <c r="B2" s="6">
        <v>100</v>
      </c>
      <c r="C2" s="6">
        <v>100</v>
      </c>
      <c r="D2">
        <v>93.48</v>
      </c>
      <c r="E2" s="6">
        <v>100</v>
      </c>
      <c r="F2">
        <v>92.22</v>
      </c>
      <c r="G2">
        <v>97.9</v>
      </c>
      <c r="H2" s="6">
        <f>AVERAGE(B2:G2)</f>
        <v>97.266666666666666</v>
      </c>
      <c r="I2">
        <f>((G2+F2+D2)/3*0.7) + ((E2+C2+B2)/3*0.3)</f>
        <v>96.173333333333332</v>
      </c>
      <c r="J2" t="str">
        <f>VLOOKUP(I2,$O$2:$P$6,2,TRUE)</f>
        <v>A</v>
      </c>
      <c r="O2">
        <v>50</v>
      </c>
      <c r="P2" t="s">
        <v>359</v>
      </c>
    </row>
    <row r="3" spans="1:16">
      <c r="A3" s="3" t="s">
        <v>28</v>
      </c>
      <c r="B3" s="6">
        <v>72.02</v>
      </c>
      <c r="C3" s="6">
        <v>85.01</v>
      </c>
      <c r="D3">
        <v>88.7</v>
      </c>
      <c r="E3" s="6">
        <v>70</v>
      </c>
      <c r="F3">
        <v>68.73</v>
      </c>
      <c r="G3">
        <v>74.099999999999994</v>
      </c>
      <c r="H3" s="6">
        <f t="shared" ref="H3:H24" si="0">AVERAGE(B3:G3)</f>
        <v>76.426666666666677</v>
      </c>
      <c r="I3">
        <f>((G3+F3+D3)/3*0.7) + ((E3+C3+B3)/3*0.3)</f>
        <v>76.726666666666659</v>
      </c>
      <c r="J3" t="str">
        <f>VLOOKUP(I3,$O$2:$P$6,2,TRUE)</f>
        <v>C</v>
      </c>
      <c r="O3">
        <v>60</v>
      </c>
      <c r="P3" t="s">
        <v>360</v>
      </c>
    </row>
    <row r="4" spans="1:16">
      <c r="A4" s="3" t="s">
        <v>41</v>
      </c>
      <c r="B4" s="6">
        <v>89.29</v>
      </c>
      <c r="C4" s="6">
        <v>93.65</v>
      </c>
      <c r="D4">
        <v>90.87</v>
      </c>
      <c r="E4" s="6">
        <v>95</v>
      </c>
      <c r="F4">
        <v>81.89</v>
      </c>
      <c r="G4">
        <v>93</v>
      </c>
      <c r="H4" s="6">
        <f t="shared" si="0"/>
        <v>90.616666666666674</v>
      </c>
      <c r="I4">
        <f>((G4+F4+D4)/3*0.7) + ((E4+C4+B4)/3*0.3)</f>
        <v>89.804666666666662</v>
      </c>
      <c r="J4" t="str">
        <f>VLOOKUP(I4,$O$2:$P$6,2,TRUE)</f>
        <v>B</v>
      </c>
      <c r="O4">
        <v>70</v>
      </c>
      <c r="P4" t="s">
        <v>361</v>
      </c>
    </row>
    <row r="5" spans="1:16">
      <c r="A5" s="3" t="s">
        <v>54</v>
      </c>
      <c r="B5" s="6">
        <v>69.05</v>
      </c>
      <c r="C5" s="6">
        <v>83.53</v>
      </c>
      <c r="D5">
        <v>93.910000000000011</v>
      </c>
      <c r="E5" s="6">
        <v>95</v>
      </c>
      <c r="F5">
        <v>75.5</v>
      </c>
      <c r="G5">
        <v>90.9</v>
      </c>
      <c r="H5" s="6">
        <f t="shared" si="0"/>
        <v>84.648333333333326</v>
      </c>
      <c r="I5">
        <f>((G5+F5+D5)/3*0.7) + ((E5+C5+B5)/3*0.3)</f>
        <v>85.496999999999986</v>
      </c>
      <c r="J5" t="str">
        <f>VLOOKUP(I5,$O$2:$P$6,2,TRUE)</f>
        <v>B</v>
      </c>
      <c r="O5">
        <v>80</v>
      </c>
      <c r="P5" t="s">
        <v>362</v>
      </c>
    </row>
    <row r="6" spans="1:16">
      <c r="A6" s="3" t="s">
        <v>67</v>
      </c>
      <c r="B6" s="6">
        <v>72.62</v>
      </c>
      <c r="C6" s="6">
        <v>85.31</v>
      </c>
      <c r="D6">
        <v>87.830000000000013</v>
      </c>
      <c r="E6" s="6">
        <v>95</v>
      </c>
      <c r="F6">
        <v>81.709999999999994</v>
      </c>
      <c r="G6">
        <v>78</v>
      </c>
      <c r="H6" s="6">
        <f t="shared" si="0"/>
        <v>83.411666666666662</v>
      </c>
      <c r="I6">
        <f>((G6+F6+D6)/3*0.7) + ((E6+C6+B6)/3*0.3)</f>
        <v>83.052333333333337</v>
      </c>
      <c r="J6" t="str">
        <f>VLOOKUP(I6,$O$2:$P$6,2,TRUE)</f>
        <v>B</v>
      </c>
      <c r="O6">
        <v>90</v>
      </c>
      <c r="P6" t="s">
        <v>363</v>
      </c>
    </row>
    <row r="7" spans="1:16">
      <c r="A7" s="3" t="s">
        <v>80</v>
      </c>
      <c r="B7" s="6">
        <v>70.239999999999995</v>
      </c>
      <c r="C7" s="6">
        <v>84.12</v>
      </c>
      <c r="D7">
        <v>82.17</v>
      </c>
      <c r="E7" s="6">
        <v>80</v>
      </c>
      <c r="F7">
        <v>73.89</v>
      </c>
      <c r="G7">
        <v>83.899999999999991</v>
      </c>
      <c r="H7" s="6">
        <f t="shared" si="0"/>
        <v>79.053333333333327</v>
      </c>
      <c r="I7">
        <f>((G7+F7+D7)/3*0.7) + ((E7+C7+B7)/3*0.3)</f>
        <v>79.426666666666662</v>
      </c>
      <c r="J7" t="str">
        <f>VLOOKUP(I7,$O$2:$P$6,2,TRUE)</f>
        <v>C</v>
      </c>
    </row>
    <row r="8" spans="1:16">
      <c r="A8" s="3" t="s">
        <v>93</v>
      </c>
      <c r="B8" s="6">
        <v>61.9</v>
      </c>
      <c r="C8" s="6">
        <v>79.95</v>
      </c>
      <c r="D8">
        <v>88.26</v>
      </c>
      <c r="E8" s="6">
        <v>100</v>
      </c>
      <c r="F8">
        <v>72.22</v>
      </c>
      <c r="G8">
        <v>86.000000000000014</v>
      </c>
      <c r="H8" s="6">
        <f t="shared" si="0"/>
        <v>81.388333333333335</v>
      </c>
      <c r="I8">
        <f>((G8+F8+D8)/3*0.7) + ((E8+C8+B8)/3*0.3)</f>
        <v>81.697000000000003</v>
      </c>
      <c r="J8" t="str">
        <f>VLOOKUP(I8,$O$2:$P$6,2,TRUE)</f>
        <v>B</v>
      </c>
    </row>
    <row r="9" spans="1:16">
      <c r="A9" s="3" t="s">
        <v>106</v>
      </c>
      <c r="B9" s="6">
        <v>65.48</v>
      </c>
      <c r="C9" s="6">
        <v>81.739999999999995</v>
      </c>
      <c r="D9">
        <v>87.61</v>
      </c>
      <c r="E9" s="6">
        <v>80</v>
      </c>
      <c r="F9">
        <v>73.89</v>
      </c>
      <c r="G9">
        <v>68.099999999999994</v>
      </c>
      <c r="H9" s="6">
        <f t="shared" si="0"/>
        <v>76.136666666666656</v>
      </c>
      <c r="I9">
        <f>((G9+F9+D9)/3*0.7) + ((E9+C9+B9)/3*0.3)</f>
        <v>76.295333333333332</v>
      </c>
      <c r="J9" t="str">
        <f>VLOOKUP(I9,$O$2:$P$6,2,TRUE)</f>
        <v>C</v>
      </c>
    </row>
    <row r="10" spans="1:16">
      <c r="A10" s="3" t="s">
        <v>119</v>
      </c>
      <c r="B10" s="6">
        <v>54.76</v>
      </c>
      <c r="C10" s="6">
        <v>76.38</v>
      </c>
      <c r="D10">
        <v>84.13</v>
      </c>
      <c r="E10" s="6">
        <v>80</v>
      </c>
      <c r="F10">
        <v>79.27</v>
      </c>
      <c r="G10">
        <v>88.1</v>
      </c>
      <c r="H10" s="6">
        <f t="shared" si="0"/>
        <v>77.106666666666669</v>
      </c>
      <c r="I10">
        <f>((G10+F10+D10)/3*0.7) + ((E10+C10+B10)/3*0.3)</f>
        <v>79.797333333333313</v>
      </c>
      <c r="J10" t="str">
        <f>VLOOKUP(I10,$O$2:$P$6,2,TRUE)</f>
        <v>C</v>
      </c>
    </row>
    <row r="11" spans="1:16">
      <c r="A11" s="3" t="s">
        <v>132</v>
      </c>
      <c r="B11" s="7" t="s">
        <v>299</v>
      </c>
      <c r="C11" s="7">
        <v>81.86</v>
      </c>
      <c r="D11">
        <v>81.3</v>
      </c>
      <c r="E11" s="7">
        <v>80</v>
      </c>
      <c r="F11">
        <v>74.39</v>
      </c>
      <c r="G11">
        <v>71.000000000000014</v>
      </c>
      <c r="H11" s="6">
        <f t="shared" si="0"/>
        <v>77.710000000000008</v>
      </c>
      <c r="I11">
        <f>((G11+F11+D11)/3*0.7) + ((E11+C11)/2*0.3)</f>
        <v>77.173333333333332</v>
      </c>
      <c r="J11" t="str">
        <f>VLOOKUP(I11,$O$2:$P$6,2,TRUE)</f>
        <v>C</v>
      </c>
    </row>
    <row r="12" spans="1:16">
      <c r="A12" s="3" t="s">
        <v>145</v>
      </c>
      <c r="B12" s="6">
        <v>90.48</v>
      </c>
      <c r="C12" s="6">
        <v>94.24</v>
      </c>
      <c r="D12">
        <v>92.17</v>
      </c>
      <c r="E12" s="6">
        <v>90.48</v>
      </c>
      <c r="F12">
        <v>46.33</v>
      </c>
      <c r="G12">
        <v>53.900000000000006</v>
      </c>
      <c r="H12" s="6">
        <f t="shared" si="0"/>
        <v>77.933333333333337</v>
      </c>
      <c r="I12">
        <f>((G12+F12+D12)/3*0.7) + ((E12+C12+B12)/3*0.3)</f>
        <v>72.413333333333341</v>
      </c>
      <c r="J12" t="str">
        <f>VLOOKUP(I12,$O$2:$P$6,2,TRUE)</f>
        <v>C</v>
      </c>
    </row>
    <row r="13" spans="1:16">
      <c r="A13" s="3" t="s">
        <v>158</v>
      </c>
      <c r="B13" s="6">
        <v>57.14</v>
      </c>
      <c r="C13" s="6">
        <v>77.569999999999993</v>
      </c>
      <c r="D13">
        <v>84.78</v>
      </c>
      <c r="E13" s="6">
        <v>100</v>
      </c>
      <c r="F13">
        <v>85.240000000000009</v>
      </c>
      <c r="G13">
        <v>73.099999999999994</v>
      </c>
      <c r="H13" s="6">
        <f t="shared" si="0"/>
        <v>79.638333333333335</v>
      </c>
      <c r="I13">
        <f>((G13+F13+D13)/3*0.7) + ((E13+C13+B13)/3*0.3)</f>
        <v>80.198999999999998</v>
      </c>
      <c r="J13" t="str">
        <f>VLOOKUP(I13,$O$2:$P$6,2,TRUE)</f>
        <v>B</v>
      </c>
    </row>
    <row r="14" spans="1:16">
      <c r="A14" s="3" t="s">
        <v>171</v>
      </c>
      <c r="B14" s="6">
        <v>95.24</v>
      </c>
      <c r="C14" s="6">
        <v>96.62</v>
      </c>
      <c r="D14">
        <v>92.609999999999985</v>
      </c>
      <c r="E14" s="6">
        <v>70</v>
      </c>
      <c r="F14">
        <v>83.89</v>
      </c>
      <c r="G14">
        <v>90.9</v>
      </c>
      <c r="H14" s="6">
        <f t="shared" si="0"/>
        <v>88.21</v>
      </c>
      <c r="I14">
        <f>((G14+F14+D14)/3*0.7) + ((E14+C14+B14)/3*0.3)</f>
        <v>88.579333333333324</v>
      </c>
      <c r="J14" t="str">
        <f>VLOOKUP(I14,$O$2:$P$6,2,TRUE)</f>
        <v>B</v>
      </c>
    </row>
    <row r="15" spans="1:16">
      <c r="A15" s="3" t="s">
        <v>183</v>
      </c>
      <c r="B15" s="6">
        <v>62.5</v>
      </c>
      <c r="C15" s="6">
        <v>71.59</v>
      </c>
      <c r="D15">
        <v>86.09</v>
      </c>
      <c r="E15" s="6">
        <v>70</v>
      </c>
      <c r="F15">
        <v>70.56</v>
      </c>
      <c r="G15">
        <v>72</v>
      </c>
      <c r="H15" s="6">
        <f t="shared" si="0"/>
        <v>72.123333333333335</v>
      </c>
      <c r="I15">
        <f>((G15+F15+D15)/3*0.7) + ((E15+C15+B15)/3*0.3)</f>
        <v>73.760666666666665</v>
      </c>
      <c r="J15" t="str">
        <f>VLOOKUP(I15,$O$2:$P$6,2,TRUE)</f>
        <v>C</v>
      </c>
    </row>
    <row r="16" spans="1:16">
      <c r="A16" s="3" t="s">
        <v>196</v>
      </c>
      <c r="B16" s="6">
        <v>44.05</v>
      </c>
      <c r="C16" s="6">
        <v>60.93</v>
      </c>
      <c r="D16">
        <v>86.09</v>
      </c>
      <c r="E16" s="6">
        <v>100</v>
      </c>
      <c r="F16">
        <v>69.11</v>
      </c>
      <c r="G16">
        <v>83.899999999999991</v>
      </c>
      <c r="H16" s="6">
        <f t="shared" si="0"/>
        <v>74.013333333333335</v>
      </c>
      <c r="I16">
        <f>((G16+F16+D16)/3*0.7) + ((E16+C16+B16)/3*0.3)</f>
        <v>76.287999999999997</v>
      </c>
      <c r="J16" t="str">
        <f>VLOOKUP(I16,$O$2:$P$6,2,TRUE)</f>
        <v>C</v>
      </c>
    </row>
    <row r="17" spans="1:10">
      <c r="A17" s="3" t="s">
        <v>208</v>
      </c>
      <c r="B17" s="6">
        <v>86.31</v>
      </c>
      <c r="C17" s="6">
        <v>92.16</v>
      </c>
      <c r="D17">
        <v>91.3</v>
      </c>
      <c r="E17" s="6">
        <v>70</v>
      </c>
      <c r="F17">
        <v>89.440000000000012</v>
      </c>
      <c r="G17">
        <v>67.900000000000006</v>
      </c>
      <c r="H17" s="6">
        <f t="shared" si="0"/>
        <v>82.851666666666674</v>
      </c>
      <c r="I17">
        <f>((G17+F17+D17)/3*0.7) + ((E17+C17+B17)/3*0.3)</f>
        <v>82.863</v>
      </c>
      <c r="J17" t="str">
        <f>VLOOKUP(I17,$O$2:$P$6,2,TRUE)</f>
        <v>B</v>
      </c>
    </row>
    <row r="18" spans="1:10">
      <c r="A18" s="3" t="s">
        <v>220</v>
      </c>
      <c r="B18" s="6">
        <v>43.45</v>
      </c>
      <c r="C18" s="6">
        <v>61.34</v>
      </c>
      <c r="D18">
        <v>91.3</v>
      </c>
      <c r="E18" s="6">
        <v>100</v>
      </c>
      <c r="F18">
        <v>67.5</v>
      </c>
      <c r="G18">
        <v>44.1</v>
      </c>
      <c r="H18" s="6">
        <f t="shared" si="0"/>
        <v>67.948333333333338</v>
      </c>
      <c r="I18">
        <f>((G18+F18+D18)/3*0.7) + ((E18+C18+B18)/3*0.3)</f>
        <v>67.822333333333319</v>
      </c>
      <c r="J18" t="str">
        <f>VLOOKUP(I18,$O$2:$P$6,2,TRUE)</f>
        <v>D</v>
      </c>
    </row>
    <row r="19" spans="1:10">
      <c r="A19" s="3" t="s">
        <v>230</v>
      </c>
      <c r="B19" s="6">
        <v>26.79</v>
      </c>
      <c r="C19" s="6">
        <v>35.07</v>
      </c>
      <c r="D19">
        <v>83.91</v>
      </c>
      <c r="E19" s="6">
        <v>75</v>
      </c>
      <c r="F19">
        <v>78.33</v>
      </c>
      <c r="H19" s="6">
        <f>AVERAGE(B19:G19)</f>
        <v>59.819999999999993</v>
      </c>
      <c r="I19">
        <f>((G19+F19+D19)/2*0.7) + ((E19+C19+B19)/3*0.3)</f>
        <v>70.47</v>
      </c>
      <c r="J19" t="str">
        <f>VLOOKUP(I19,$O$2:$P$6,2,TRUE)</f>
        <v>C</v>
      </c>
    </row>
    <row r="20" spans="1:10">
      <c r="A20" s="3" t="s">
        <v>242</v>
      </c>
      <c r="B20" s="6">
        <v>61.9</v>
      </c>
      <c r="C20" s="6">
        <v>79.95</v>
      </c>
      <c r="D20">
        <v>80.069999999999993</v>
      </c>
      <c r="E20" s="6">
        <v>70</v>
      </c>
      <c r="F20">
        <v>74.11</v>
      </c>
      <c r="G20">
        <v>66.100000000000009</v>
      </c>
      <c r="H20" s="6">
        <f t="shared" si="0"/>
        <v>72.021666666666661</v>
      </c>
      <c r="I20">
        <f>((G20+F20+D20)/3*0.7) + ((E20+C20+B20)/3*0.3)</f>
        <v>72.583666666666659</v>
      </c>
      <c r="J20" t="str">
        <f>VLOOKUP(I20,$O$2:$P$6,2,TRUE)</f>
        <v>C</v>
      </c>
    </row>
    <row r="21" spans="1:10">
      <c r="A21" s="3" t="s">
        <v>255</v>
      </c>
      <c r="B21" s="6">
        <v>87.5</v>
      </c>
      <c r="C21" s="6">
        <v>92.75</v>
      </c>
      <c r="D21">
        <v>76.39</v>
      </c>
      <c r="E21" s="6">
        <v>70</v>
      </c>
      <c r="F21">
        <v>82.32</v>
      </c>
      <c r="G21">
        <v>90.9</v>
      </c>
      <c r="H21" s="6">
        <f t="shared" si="0"/>
        <v>83.31</v>
      </c>
      <c r="I21">
        <f>((G21+F21+D21)/3*0.7) + ((E21+C21+B21)/3*0.3)</f>
        <v>83.267333333333326</v>
      </c>
      <c r="J21" t="str">
        <f>VLOOKUP(I21,$O$2:$P$6,2,TRUE)</f>
        <v>B</v>
      </c>
    </row>
    <row r="22" spans="1:10">
      <c r="A22" s="3" t="s">
        <v>268</v>
      </c>
      <c r="B22" s="6">
        <v>65.48</v>
      </c>
      <c r="C22" s="6">
        <v>81.739999999999995</v>
      </c>
      <c r="D22">
        <v>86.3</v>
      </c>
      <c r="E22" s="6">
        <v>70</v>
      </c>
      <c r="F22">
        <v>69.67</v>
      </c>
      <c r="G22">
        <v>35</v>
      </c>
      <c r="H22" s="6">
        <f t="shared" si="0"/>
        <v>68.031666666666666</v>
      </c>
      <c r="I22">
        <f>((G22+F22+D22)/3*0.7) + ((E22+C22+B22)/3*0.3)</f>
        <v>66.281666666666666</v>
      </c>
      <c r="J22" t="str">
        <f>VLOOKUP(I22,$O$2:$P$6,2,TRUE)</f>
        <v>D</v>
      </c>
    </row>
    <row r="23" spans="1:10">
      <c r="A23" s="3" t="s">
        <v>271</v>
      </c>
      <c r="B23" s="6">
        <v>75</v>
      </c>
      <c r="C23" s="6">
        <v>86.5</v>
      </c>
      <c r="D23">
        <v>87.830000000000013</v>
      </c>
      <c r="E23" s="6">
        <v>75</v>
      </c>
      <c r="F23">
        <v>70.56</v>
      </c>
      <c r="G23">
        <v>63</v>
      </c>
      <c r="H23" s="6">
        <f t="shared" si="0"/>
        <v>76.315000000000012</v>
      </c>
      <c r="I23">
        <f>((G23+F23+D23)/3*0.7) + ((E23+C23+B23)/3*0.3)</f>
        <v>75.307666666666663</v>
      </c>
      <c r="J23" t="str">
        <f>VLOOKUP(I23,$O$2:$P$6,2,TRUE)</f>
        <v>C</v>
      </c>
    </row>
    <row r="24" spans="1:10">
      <c r="A24" s="3" t="s">
        <v>272</v>
      </c>
      <c r="B24" s="6">
        <v>48.21</v>
      </c>
      <c r="C24" s="6">
        <v>63.5</v>
      </c>
      <c r="D24">
        <v>91.52</v>
      </c>
      <c r="E24" s="6">
        <v>100</v>
      </c>
      <c r="F24">
        <v>90.22</v>
      </c>
      <c r="G24">
        <v>88.1</v>
      </c>
      <c r="H24" s="6">
        <f t="shared" si="0"/>
        <v>80.25833333333334</v>
      </c>
      <c r="I24">
        <f>((G24+F24+D24)/3*0.7) + ((E24+C24+B24)/3*0.3)</f>
        <v>84.133666666666656</v>
      </c>
      <c r="J24" t="str">
        <f>VLOOKUP(I24,$O$2:$P$6,2,TRUE)</f>
        <v>B</v>
      </c>
    </row>
    <row r="26" spans="1:10" ht="18.75">
      <c r="H26" s="5" t="s">
        <v>364</v>
      </c>
      <c r="I26" s="3">
        <f>COUNTIF(I2:I24, "&gt;=70") / COUNTA(I2:I24)</f>
        <v>0.91304347826086951</v>
      </c>
    </row>
  </sheetData>
  <sortState xmlns:xlrd2="http://schemas.microsoft.com/office/spreadsheetml/2017/richdata2" ref="N2:O6">
    <sortCondition descending="1" ref="N2:N6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FB7D8-C997-445B-9088-8A75DDD8140E}">
  <dimension ref="A1:F24"/>
  <sheetViews>
    <sheetView workbookViewId="0">
      <selection activeCell="C2" sqref="C2"/>
    </sheetView>
  </sheetViews>
  <sheetFormatPr defaultRowHeight="15"/>
  <cols>
    <col min="1" max="1" width="32.7109375" customWidth="1"/>
    <col min="2" max="2" width="21.42578125" customWidth="1"/>
    <col min="3" max="3" width="13.5703125" bestFit="1" customWidth="1"/>
    <col min="4" max="4" width="34.140625" customWidth="1"/>
    <col min="5" max="5" width="11.28515625" bestFit="1" customWidth="1"/>
    <col min="6" max="6" width="10.7109375" bestFit="1" customWidth="1"/>
  </cols>
  <sheetData>
    <row r="1" spans="1:6" ht="18.75">
      <c r="A1" s="2" t="s">
        <v>365</v>
      </c>
      <c r="B1" t="s">
        <v>366</v>
      </c>
      <c r="C1" t="s">
        <v>367</v>
      </c>
      <c r="D1" t="s">
        <v>368</v>
      </c>
      <c r="E1" t="s">
        <v>369</v>
      </c>
      <c r="F1" t="s">
        <v>370</v>
      </c>
    </row>
    <row r="2" spans="1:6">
      <c r="A2" s="10" t="s">
        <v>371</v>
      </c>
      <c r="B2" s="6">
        <v>33.522727272727273</v>
      </c>
      <c r="C2" s="6">
        <v>100</v>
      </c>
      <c r="D2" s="9" t="s">
        <v>372</v>
      </c>
      <c r="E2" s="4" t="s">
        <v>373</v>
      </c>
      <c r="F2" s="11">
        <v>1</v>
      </c>
    </row>
    <row r="3" spans="1:6">
      <c r="A3" s="10" t="s">
        <v>374</v>
      </c>
      <c r="B3" s="6">
        <v>10.227272727272728</v>
      </c>
      <c r="C3" s="6">
        <v>72.02</v>
      </c>
      <c r="D3" s="9" t="s">
        <v>372</v>
      </c>
      <c r="E3" s="4" t="s">
        <v>375</v>
      </c>
      <c r="F3" s="11">
        <v>1</v>
      </c>
    </row>
    <row r="4" spans="1:6">
      <c r="A4" s="10" t="s">
        <v>376</v>
      </c>
      <c r="B4" s="6">
        <v>9.0909090909090917</v>
      </c>
      <c r="C4" s="6">
        <v>89.29</v>
      </c>
      <c r="D4" s="9" t="s">
        <v>372</v>
      </c>
      <c r="E4" s="4" t="s">
        <v>377</v>
      </c>
      <c r="F4" s="11">
        <v>1</v>
      </c>
    </row>
    <row r="5" spans="1:6">
      <c r="A5" s="10" t="s">
        <v>378</v>
      </c>
      <c r="B5" s="6">
        <v>13.636363636363635</v>
      </c>
      <c r="C5" s="6">
        <v>69.05</v>
      </c>
      <c r="D5" s="9" t="s">
        <v>372</v>
      </c>
      <c r="E5" s="4" t="s">
        <v>379</v>
      </c>
      <c r="F5" s="11">
        <v>1</v>
      </c>
    </row>
    <row r="6" spans="1:6">
      <c r="A6" s="10" t="s">
        <v>67</v>
      </c>
      <c r="B6" s="6">
        <v>20.454545454545457</v>
      </c>
      <c r="C6" s="6">
        <v>72.62</v>
      </c>
      <c r="D6" s="9" t="s">
        <v>372</v>
      </c>
      <c r="E6" s="4" t="s">
        <v>380</v>
      </c>
      <c r="F6" s="11">
        <v>1</v>
      </c>
    </row>
    <row r="7" spans="1:6">
      <c r="A7" s="10" t="s">
        <v>381</v>
      </c>
      <c r="B7" s="6">
        <v>6.8181818181818175</v>
      </c>
      <c r="C7" s="6">
        <v>70.239999999999995</v>
      </c>
      <c r="D7" s="9" t="s">
        <v>372</v>
      </c>
      <c r="E7" s="4" t="s">
        <v>382</v>
      </c>
      <c r="F7" s="11">
        <v>1</v>
      </c>
    </row>
    <row r="8" spans="1:6">
      <c r="A8" s="10" t="s">
        <v>383</v>
      </c>
      <c r="B8" s="6">
        <v>30.681818181818183</v>
      </c>
      <c r="C8" s="6">
        <v>61.9</v>
      </c>
      <c r="D8" s="9" t="s">
        <v>372</v>
      </c>
      <c r="E8" s="4" t="s">
        <v>384</v>
      </c>
      <c r="F8" s="11">
        <v>1</v>
      </c>
    </row>
    <row r="9" spans="1:6">
      <c r="A9" s="10" t="s">
        <v>385</v>
      </c>
      <c r="B9" s="6">
        <v>19.318181818181817</v>
      </c>
      <c r="C9" s="6">
        <v>65.48</v>
      </c>
      <c r="D9" s="9" t="s">
        <v>372</v>
      </c>
      <c r="E9" s="4" t="s">
        <v>386</v>
      </c>
      <c r="F9" s="11">
        <v>1</v>
      </c>
    </row>
    <row r="10" spans="1:6">
      <c r="A10" s="10" t="s">
        <v>387</v>
      </c>
      <c r="B10" s="6">
        <v>0</v>
      </c>
      <c r="C10" s="6">
        <v>54.76</v>
      </c>
      <c r="D10" s="9" t="s">
        <v>372</v>
      </c>
      <c r="E10" s="4" t="s">
        <v>388</v>
      </c>
      <c r="F10" s="11">
        <v>1</v>
      </c>
    </row>
    <row r="11" spans="1:6">
      <c r="A11" s="10" t="s">
        <v>389</v>
      </c>
      <c r="B11" s="6">
        <v>10.795454545454545</v>
      </c>
      <c r="C11" s="7" t="s">
        <v>299</v>
      </c>
      <c r="D11" s="9" t="s">
        <v>372</v>
      </c>
      <c r="E11" s="4" t="s">
        <v>390</v>
      </c>
      <c r="F11" s="11">
        <v>1</v>
      </c>
    </row>
    <row r="12" spans="1:6">
      <c r="A12" s="10" t="s">
        <v>391</v>
      </c>
      <c r="B12" s="6">
        <v>17.045454545454543</v>
      </c>
      <c r="C12" s="6">
        <v>90.48</v>
      </c>
      <c r="D12" s="9" t="s">
        <v>372</v>
      </c>
      <c r="E12" s="4" t="s">
        <v>392</v>
      </c>
      <c r="F12" s="11">
        <v>0.97960000000000003</v>
      </c>
    </row>
    <row r="13" spans="1:6">
      <c r="A13" s="10" t="s">
        <v>393</v>
      </c>
      <c r="B13" s="6">
        <v>12.5</v>
      </c>
      <c r="C13" s="6">
        <v>57.14</v>
      </c>
      <c r="D13" s="9" t="s">
        <v>372</v>
      </c>
      <c r="E13" s="4" t="s">
        <v>394</v>
      </c>
      <c r="F13" s="11">
        <v>1</v>
      </c>
    </row>
    <row r="14" spans="1:6">
      <c r="A14" s="10" t="s">
        <v>395</v>
      </c>
      <c r="B14" s="6">
        <v>21.59090909090909</v>
      </c>
      <c r="C14" s="6">
        <v>95.24</v>
      </c>
      <c r="D14" s="9" t="s">
        <v>372</v>
      </c>
      <c r="E14" s="4" t="s">
        <v>396</v>
      </c>
      <c r="F14" s="11">
        <v>1</v>
      </c>
    </row>
    <row r="15" spans="1:6">
      <c r="A15" s="10" t="s">
        <v>397</v>
      </c>
      <c r="B15" s="6">
        <v>44.31818181818182</v>
      </c>
      <c r="C15" s="6">
        <v>62.5</v>
      </c>
      <c r="D15" s="9" t="s">
        <v>372</v>
      </c>
      <c r="E15" s="4" t="s">
        <v>398</v>
      </c>
      <c r="F15" s="11">
        <v>1</v>
      </c>
    </row>
    <row r="16" spans="1:6">
      <c r="A16" s="10" t="s">
        <v>399</v>
      </c>
      <c r="B16" s="6">
        <v>15.909090909090908</v>
      </c>
      <c r="C16" s="6">
        <v>44.05</v>
      </c>
      <c r="D16" s="9" t="s">
        <v>372</v>
      </c>
      <c r="E16" s="4" t="s">
        <v>400</v>
      </c>
      <c r="F16" s="11">
        <v>1</v>
      </c>
    </row>
    <row r="17" spans="1:6">
      <c r="A17" s="10" t="s">
        <v>401</v>
      </c>
      <c r="B17" s="6">
        <v>25</v>
      </c>
      <c r="C17" s="6">
        <v>86.31</v>
      </c>
      <c r="D17" s="9" t="s">
        <v>372</v>
      </c>
      <c r="E17" s="4" t="s">
        <v>402</v>
      </c>
      <c r="F17" s="11">
        <v>1</v>
      </c>
    </row>
    <row r="18" spans="1:6">
      <c r="A18" s="10" t="s">
        <v>403</v>
      </c>
      <c r="B18" s="6">
        <v>13.636363636363635</v>
      </c>
      <c r="C18" s="6">
        <v>43.45</v>
      </c>
      <c r="D18" s="9" t="s">
        <v>372</v>
      </c>
      <c r="E18" s="4" t="s">
        <v>404</v>
      </c>
      <c r="F18" s="11">
        <v>1</v>
      </c>
    </row>
    <row r="19" spans="1:6">
      <c r="A19" s="10" t="s">
        <v>405</v>
      </c>
      <c r="B19" s="6">
        <v>10.227272727272728</v>
      </c>
      <c r="C19" s="6">
        <v>26.79</v>
      </c>
      <c r="D19" s="9" t="s">
        <v>372</v>
      </c>
      <c r="E19" s="4" t="s">
        <v>406</v>
      </c>
      <c r="F19" s="11">
        <v>1</v>
      </c>
    </row>
    <row r="20" spans="1:6">
      <c r="A20" s="10" t="s">
        <v>407</v>
      </c>
      <c r="B20" s="6">
        <v>6.8181818181818175</v>
      </c>
      <c r="C20" s="6">
        <v>61.9</v>
      </c>
      <c r="D20" s="9" t="s">
        <v>372</v>
      </c>
      <c r="E20" s="4" t="s">
        <v>408</v>
      </c>
      <c r="F20" s="11">
        <v>1</v>
      </c>
    </row>
    <row r="21" spans="1:6">
      <c r="A21" s="10" t="s">
        <v>409</v>
      </c>
      <c r="B21" s="6">
        <v>15.909090909090908</v>
      </c>
      <c r="C21" s="6">
        <v>87.5</v>
      </c>
      <c r="D21" s="9" t="s">
        <v>372</v>
      </c>
      <c r="E21" s="4" t="s">
        <v>410</v>
      </c>
      <c r="F21" s="11">
        <v>1</v>
      </c>
    </row>
    <row r="22" spans="1:6">
      <c r="A22" s="10" t="s">
        <v>411</v>
      </c>
      <c r="B22" s="6">
        <v>17.045454545454543</v>
      </c>
      <c r="C22" s="6">
        <v>65.48</v>
      </c>
      <c r="D22" s="9" t="s">
        <v>372</v>
      </c>
      <c r="E22" s="4" t="s">
        <v>412</v>
      </c>
      <c r="F22" s="11">
        <v>1</v>
      </c>
    </row>
    <row r="23" spans="1:6">
      <c r="A23" s="10" t="s">
        <v>413</v>
      </c>
      <c r="B23" s="6">
        <v>19.318181818181817</v>
      </c>
      <c r="C23" s="6">
        <v>75</v>
      </c>
      <c r="D23" s="9" t="s">
        <v>372</v>
      </c>
      <c r="E23" s="4" t="s">
        <v>414</v>
      </c>
      <c r="F23" s="11">
        <v>1</v>
      </c>
    </row>
    <row r="24" spans="1:6">
      <c r="A24" s="10" t="s">
        <v>415</v>
      </c>
      <c r="B24" s="6">
        <v>22.727272727272727</v>
      </c>
      <c r="C24" s="6">
        <v>48.21</v>
      </c>
      <c r="D24" s="9" t="s">
        <v>372</v>
      </c>
      <c r="E24" s="4" t="s">
        <v>416</v>
      </c>
      <c r="F24" s="11" t="s">
        <v>417</v>
      </c>
    </row>
  </sheetData>
  <hyperlinks>
    <hyperlink ref="E2" r:id="rId1" xr:uid="{176341A8-A8A0-42CB-B3F9-C4E249DECF8A}"/>
    <hyperlink ref="E3:E24" r:id="rId2" xr:uid="{A8EBCD7E-0A33-4356-ACD6-85C43BAD297C}"/>
    <hyperlink ref="D2" r:id="rId3" xr:uid="{67C0B007-D6A0-4A20-BABD-48BCB8BEC7C4}"/>
    <hyperlink ref="D3:D24" r:id="rId4" display="https://github.com/CodelineAtyab/Brain360/pulls?q=is%3Apr+is%3Aclosed" xr:uid="{1B7EE5F9-42D0-4CF0-ABF0-1CC65A465CE5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524ecfe-089c-425a-a4be-7743da73ddfc" xsi:nil="true"/>
    <lcf76f155ced4ddcb4097134ff3c332f xmlns="7112d4b0-5493-499c-a8a1-c4cefa8f836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4386AB3068CD42B8F0F14A3B25C6E6" ma:contentTypeVersion="15" ma:contentTypeDescription="Create a new document." ma:contentTypeScope="" ma:versionID="51de86e989d9a9b876be5e42f8d8c151">
  <xsd:schema xmlns:xsd="http://www.w3.org/2001/XMLSchema" xmlns:xs="http://www.w3.org/2001/XMLSchema" xmlns:p="http://schemas.microsoft.com/office/2006/metadata/properties" xmlns:ns2="7112d4b0-5493-499c-a8a1-c4cefa8f8360" xmlns:ns3="5524ecfe-089c-425a-a4be-7743da73ddfc" targetNamespace="http://schemas.microsoft.com/office/2006/metadata/properties" ma:root="true" ma:fieldsID="671f3d306594c48aa9ea304f8f3d50af" ns2:_="" ns3:_="">
    <xsd:import namespace="7112d4b0-5493-499c-a8a1-c4cefa8f8360"/>
    <xsd:import namespace="5524ecfe-089c-425a-a4be-7743da73dd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2d4b0-5493-499c-a8a1-c4cefa8f83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58fa18b-5786-4974-b7f7-d3b37da9bf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4ecfe-089c-425a-a4be-7743da73ddf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1eac91-b8be-4f7d-a1a0-d2f2d9fa7553}" ma:internalName="TaxCatchAll" ma:showField="CatchAllData" ma:web="5524ecfe-089c-425a-a4be-7743da73dd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181BE1-4349-4356-BB20-D498CEDB0838}"/>
</file>

<file path=customXml/itemProps2.xml><?xml version="1.0" encoding="utf-8"?>
<ds:datastoreItem xmlns:ds="http://schemas.openxmlformats.org/officeDocument/2006/customXml" ds:itemID="{40E2C60B-4EB2-4AA1-9F0B-5016388626E9}"/>
</file>

<file path=customXml/itemProps3.xml><?xml version="1.0" encoding="utf-8"?>
<ds:datastoreItem xmlns:ds="http://schemas.openxmlformats.org/officeDocument/2006/customXml" ds:itemID="{A0F7C045-8468-4D31-9CFF-F285EE1B9B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2025-05-15T12:13:16Z</dcterms:created>
  <dcterms:modified xsi:type="dcterms:W3CDTF">2025-11-05T12:00:06Z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0x010100CC4386AB3068CD42B8F0F14A3B25C6E6</vt:lpwstr>
  </property>
  <property fmtid="{D5CDD505-2E9C-101B-9397-08002B2CF9AE}" pid="3" name="MediaServiceImageTags">
    <vt:lpwstr/>
  </property>
</Properties>
</file>